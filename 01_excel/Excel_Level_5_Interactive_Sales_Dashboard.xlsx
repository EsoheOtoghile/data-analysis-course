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ome\Desktop\DAC\"/>
    </mc:Choice>
  </mc:AlternateContent>
  <xr:revisionPtr revIDLastSave="0" documentId="8_{05C6F160-64AC-4E6F-85F4-56F2111B79D4}" xr6:coauthVersionLast="47" xr6:coauthVersionMax="47" xr10:uidLastSave="{00000000-0000-0000-0000-000000000000}"/>
  <bookViews>
    <workbookView xWindow="-108" yWindow="-108" windowWidth="23256" windowHeight="12456" activeTab="4" xr2:uid="{E7799792-1FEC-44A8-9AC1-DA84FB39FE5A}"/>
  </bookViews>
  <sheets>
    <sheet name="Raw_Data" sheetId="6" r:id="rId1"/>
    <sheet name="Year_Month_Analysis" sheetId="8" r:id="rId2"/>
    <sheet name="Sales_Data" sheetId="1" r:id="rId3"/>
    <sheet name="Pivot_Analysis" sheetId="2" r:id="rId4"/>
    <sheet name="Dashboard" sheetId="3" r:id="rId5"/>
  </sheets>
  <definedNames>
    <definedName name="Slicer_Product">#N/A</definedName>
    <definedName name="Slicer_Region">#N/A</definedName>
    <definedName name="Slicer_Years">#N/A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3" l="1"/>
  <c r="M4" i="3"/>
  <c r="J5" i="3"/>
  <c r="J4" i="3"/>
  <c r="G5" i="3"/>
  <c r="G4" i="3"/>
  <c r="D4" i="3"/>
  <c r="A4" i="3"/>
</calcChain>
</file>

<file path=xl/sharedStrings.xml><?xml version="1.0" encoding="utf-8"?>
<sst xmlns="http://schemas.openxmlformats.org/spreadsheetml/2006/main" count="1074" uniqueCount="249">
  <si>
    <t>Order_ID</t>
  </si>
  <si>
    <t>Date</t>
  </si>
  <si>
    <t>Region</t>
  </si>
  <si>
    <t>Product</t>
  </si>
  <si>
    <t>Category</t>
  </si>
  <si>
    <t>Salesperson</t>
  </si>
  <si>
    <t>Units</t>
  </si>
  <si>
    <t>Unit_Price</t>
  </si>
  <si>
    <t>Revenue</t>
  </si>
  <si>
    <t>O0001</t>
  </si>
  <si>
    <t>East</t>
  </si>
  <si>
    <t>Monitor</t>
  </si>
  <si>
    <t>Technology</t>
  </si>
  <si>
    <t>Emily</t>
  </si>
  <si>
    <t>O0002</t>
  </si>
  <si>
    <t>West</t>
  </si>
  <si>
    <t>Keyboard</t>
  </si>
  <si>
    <t>Accessories</t>
  </si>
  <si>
    <t>Aisha</t>
  </si>
  <si>
    <t>O0003</t>
  </si>
  <si>
    <t>North</t>
  </si>
  <si>
    <t>Webcam</t>
  </si>
  <si>
    <t>Olivia</t>
  </si>
  <si>
    <t>O0004</t>
  </si>
  <si>
    <t>South</t>
  </si>
  <si>
    <t>Tablet</t>
  </si>
  <si>
    <t>David</t>
  </si>
  <si>
    <t>O0005</t>
  </si>
  <si>
    <t>Mouse</t>
  </si>
  <si>
    <t>O0006</t>
  </si>
  <si>
    <t>Laptop</t>
  </si>
  <si>
    <t>O0007</t>
  </si>
  <si>
    <t>Printer</t>
  </si>
  <si>
    <t>Office Equipment</t>
  </si>
  <si>
    <t>O0008</t>
  </si>
  <si>
    <t>Headset</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</si>
  <si>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</si>
  <si>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</si>
  <si>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</si>
  <si>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</si>
  <si>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</si>
  <si>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</si>
  <si>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</si>
  <si>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</si>
  <si>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</si>
  <si>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</si>
  <si>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</si>
  <si>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</si>
  <si>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</si>
  <si>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</si>
  <si>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</si>
  <si>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</si>
  <si>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</si>
  <si>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</si>
  <si>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</si>
  <si>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</si>
  <si>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</si>
  <si>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</si>
  <si>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</si>
  <si>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</si>
  <si>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</si>
  <si>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</si>
  <si>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</si>
  <si>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</si>
  <si>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</si>
  <si>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</si>
  <si>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</si>
  <si>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</si>
  <si>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</si>
  <si>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</si>
  <si>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</si>
  <si>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</si>
  <si>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</si>
  <si>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</si>
  <si>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</si>
  <si>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</si>
  <si>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</si>
  <si>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</si>
  <si>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</si>
  <si>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</si>
  <si>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</si>
  <si>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</si>
  <si>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</si>
  <si>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</si>
  <si>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</si>
  <si>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</si>
  <si>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</si>
  <si>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</si>
  <si>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</si>
  <si>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</si>
  <si>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</si>
  <si>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</si>
  <si>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</si>
  <si>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</si>
  <si>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</si>
  <si>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</si>
  <si>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</si>
  <si>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</si>
  <si>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</si>
  <si>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</si>
  <si>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</si>
  <si>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</si>
  <si>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</si>
  <si>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</si>
  <si>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</si>
  <si>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</si>
  <si>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</si>
  <si>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</si>
  <si>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</si>
  <si>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</si>
  <si>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</si>
  <si>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</si>
  <si>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</si>
  <si>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</si>
  <si>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</si>
  <si>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</si>
  <si>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</si>
  <si>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</si>
  <si>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</si>
  <si>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</si>
  <si>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</si>
  <si>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</si>
  <si>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</si>
  <si>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</si>
  <si>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</si>
  <si>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Daniel</t>
  </si>
  <si>
    <t>O0098</t>
  </si>
  <si>
    <t>Sarah</t>
  </si>
  <si>
    <t>O0099</t>
  </si>
  <si>
    <t>James</t>
  </si>
  <si>
    <t>O0100</t>
  </si>
  <si>
    <t>Michael</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</si>
  <si>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</si>
  <si>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</si>
  <si>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</si>
  <si>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</si>
  <si>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</si>
  <si>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</si>
  <si>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</si>
  <si>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</si>
  <si>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</si>
  <si>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</si>
  <si>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</si>
  <si>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</si>
  <si>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</si>
  <si>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</si>
  <si>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</si>
  <si>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</si>
  <si>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</si>
  <si>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</si>
  <si>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</si>
  <si>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</si>
  <si>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</si>
  <si>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</si>
  <si>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</si>
  <si>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</si>
  <si>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</si>
  <si>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</si>
  <si>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</si>
  <si>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</si>
  <si>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</si>
  <si>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</si>
  <si>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</si>
  <si>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</si>
  <si>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</si>
  <si>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</si>
  <si>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</si>
  <si>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</si>
  <si>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</si>
  <si>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</si>
  <si>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</si>
  <si>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</si>
  <si>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</si>
  <si>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</si>
  <si>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</si>
  <si>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</si>
  <si>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</si>
  <si>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</si>
  <si>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</si>
  <si>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</si>
  <si>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</si>
  <si>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</si>
  <si>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</si>
  <si>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</si>
  <si>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</si>
  <si>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</si>
  <si>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</si>
  <si>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</si>
  <si>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</si>
  <si>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</si>
  <si>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</si>
  <si>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</si>
  <si>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</si>
  <si>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</si>
  <si>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</si>
  <si>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</si>
  <si>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</si>
  <si>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</si>
  <si>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</si>
  <si>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</si>
  <si>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</si>
  <si>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</si>
  <si>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</si>
  <si>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</si>
  <si>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</si>
  <si>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</si>
  <si>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</si>
  <si>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</si>
  <si>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</si>
  <si>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</si>
  <si>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</si>
  <si>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</si>
  <si>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</si>
  <si>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</si>
  <si>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</si>
  <si>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</si>
  <si>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</si>
  <si>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</si>
  <si>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</si>
  <si>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</si>
  <si>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</si>
  <si>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</si>
  <si>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</si>
  <si>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</si>
  <si>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Sum of Revenue</t>
  </si>
  <si>
    <t>Sum of Units</t>
  </si>
  <si>
    <t>Row Labels</t>
  </si>
  <si>
    <t>Grand Total</t>
  </si>
  <si>
    <t>SALES PERFORMANCE DASHBOARD</t>
  </si>
  <si>
    <t>TOTAL REVENUE</t>
  </si>
  <si>
    <t>TOTAL UNITS SOLD</t>
  </si>
  <si>
    <t>TOP REGION</t>
  </si>
  <si>
    <t>TOP SALESPERSON</t>
  </si>
  <si>
    <t>2025</t>
  </si>
  <si>
    <t>Jan</t>
  </si>
  <si>
    <t>Feb</t>
  </si>
  <si>
    <t>Mar</t>
  </si>
  <si>
    <t>Apr</t>
  </si>
  <si>
    <t>May</t>
  </si>
  <si>
    <t>Jun</t>
  </si>
  <si>
    <t>Jul</t>
  </si>
  <si>
    <t>Aug</t>
  </si>
  <si>
    <t>Sep</t>
  </si>
  <si>
    <t>Oct</t>
  </si>
  <si>
    <t>Nov</t>
  </si>
  <si>
    <t>Dec</t>
  </si>
  <si>
    <t>2026</t>
  </si>
  <si>
    <t>Column Labels</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</si>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</sst>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00"/>
    <numFmt numFmtId="171" formatCode="&quot;£&quot;#,##0"/>
  </numFmts>
  <fonts count="9">
    <font>
      <sz val="11"/>
      <color theme="1"/>
      <name val="Calibri"/>
      <family val="2"/>
      <scheme val="minor"/>
    </font>
    <font>
      <b/>
      <sz val="11"/>
      <color rgb="FFFFFFFF"/>
      <name val="Carlito"/>
    </font>
    <font>
      <sz val="12"/>
      <color theme="1"/>
      <name val="Calibri"/>
      <family val="2"/>
      <scheme val="minor"/>
    </font>
    <font>
      <b/>
      <sz val="20"/>
      <color theme="1"/>
      <name val="Calibri"/>
      <family val="2"/>
      <scheme val="minor"/>
    </font>
    <font>
      <sz val="20"/>
      <color theme="1"/>
      <name val="Calibri"/>
      <family val="2"/>
      <scheme val="minor"/>
    </font>
    <font>
      <b/>
      <sz val="12"/>
      <color theme="1"/>
      <name val="Calibri"/>
      <family val="2"/>
      <scheme val="minor"/>
    </font>
    <font>
      <sz val="16"/>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xf>
    <xf numFmtId="14" fontId="0" fillId="0" borderId="0" xfId="0" applyNumberFormat="1"/>
    <xf numFmtId="1" fontId="0" fillId="0" borderId="0" xfId="0" applyNumberFormat="1"/>
    <xf numFmtId="16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Continuous"/>
    </xf>
    <xf numFmtId="0" fontId="4" fillId="0" borderId="0" xfId="0" applyFont="1" applyAlignment="1">
      <alignment horizontal="centerContinuous"/>
    </xf>
    <xf numFmtId="0" fontId="5" fillId="3" borderId="1" xfId="0" applyFont="1" applyFill="1" applyBorder="1" applyAlignment="1">
      <alignment horizontal="centerContinuous"/>
    </xf>
    <xf numFmtId="0" fontId="2" fillId="3" borderId="2" xfId="0" applyFont="1" applyFill="1" applyBorder="1" applyAlignment="1">
      <alignment horizontal="centerContinuous"/>
    </xf>
    <xf numFmtId="0" fontId="2" fillId="3" borderId="3" xfId="0" applyFont="1" applyFill="1" applyBorder="1" applyAlignment="1">
      <alignment horizontal="centerContinuous"/>
    </xf>
    <xf numFmtId="171" fontId="3" fillId="3" borderId="4" xfId="0" applyNumberFormat="1" applyFont="1" applyFill="1" applyBorder="1" applyAlignment="1">
      <alignment horizontal="centerContinuous"/>
    </xf>
    <xf numFmtId="0" fontId="3" fillId="3" borderId="0" xfId="0" applyFont="1" applyFill="1" applyBorder="1" applyAlignment="1">
      <alignment horizontal="centerContinuous"/>
    </xf>
    <xf numFmtId="0" fontId="3" fillId="3" borderId="5" xfId="0" applyFont="1" applyFill="1" applyBorder="1" applyAlignment="1">
      <alignment horizontal="centerContinuous"/>
    </xf>
    <xf numFmtId="0" fontId="0" fillId="3" borderId="6" xfId="0" applyFill="1" applyBorder="1"/>
    <xf numFmtId="0" fontId="0" fillId="3" borderId="7" xfId="0" applyFill="1" applyBorder="1"/>
    <xf numFmtId="0" fontId="0" fillId="3" borderId="8" xfId="0" applyFill="1" applyBorder="1"/>
    <xf numFmtId="0" fontId="8" fillId="3" borderId="4" xfId="0" applyFont="1" applyFill="1" applyBorder="1" applyAlignment="1">
      <alignment horizontal="centerContinuous"/>
    </xf>
    <xf numFmtId="0" fontId="6" fillId="3" borderId="0" xfId="0" applyFont="1" applyFill="1" applyBorder="1" applyAlignment="1">
      <alignment horizontal="centerContinuous"/>
    </xf>
    <xf numFmtId="0" fontId="6" fillId="3" borderId="5" xfId="0" applyFont="1" applyFill="1" applyBorder="1" applyAlignment="1">
      <alignment horizontal="centerContinuous"/>
    </xf>
    <xf numFmtId="0" fontId="7" fillId="3" borderId="7" xfId="0" applyFont="1" applyFill="1" applyBorder="1" applyAlignment="1">
      <alignment horizontal="centerContinuous"/>
    </xf>
    <xf numFmtId="0" fontId="7" fillId="3" borderId="8" xfId="0" applyFont="1" applyFill="1" applyBorder="1" applyAlignment="1">
      <alignment horizontal="centerContinuous"/>
    </xf>
    <xf numFmtId="14" fontId="0" fillId="0" borderId="0" xfId="0" applyNumberFormat="1" applyAlignment="1">
      <alignment horizontal="left"/>
    </xf>
    <xf numFmtId="171" fontId="7" fillId="3" borderId="8" xfId="0" applyNumberFormat="1" applyFont="1" applyFill="1" applyBorder="1" applyAlignment="1">
      <alignment horizontal="centerContinuous"/>
    </xf>
    <xf numFmtId="3" fontId="3" fillId="3" borderId="0" xfId="0" applyNumberFormat="1" applyFont="1" applyFill="1" applyBorder="1" applyAlignment="1">
      <alignment horizontal="centerContinuous"/>
    </xf>
    <xf numFmtId="3" fontId="3" fillId="3" borderId="4" xfId="0" applyNumberFormat="1" applyFont="1" applyFill="1" applyBorder="1" applyAlignment="1">
      <alignment horizontal="centerContinuous"/>
    </xf>
    <xf numFmtId="171" fontId="7" fillId="3" borderId="6" xfId="0" applyNumberFormat="1" applyFont="1" applyFill="1" applyBorder="1" applyAlignment="1">
      <alignment horizontal="centerContinuous"/>
    </xf>
  </cellXfs>
  <cellStyles count="1">
    <cellStyle name="Normal" xfId="0" builtinId="0"/>
  </cellStyles>
  <dxfs count="6">
    <dxf>
      <numFmt numFmtId="19" formatCode="dd/mm/yyyy"/>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0" indent="0" justifyLastLine="0" shrinkToFit="0" readingOrder="0"/>
    </dxf>
    <dxf>
      <numFmt numFmtId="164" formatCode="\£#,##0.00"/>
    </dxf>
    <dxf>
      <numFmt numFmtId="164" formatCode="\£#,##0.0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[Excel_Level_5_Interactive_Sales_Dashboard.xlsx]Year_Month_Analysis!PivotTable9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Revenue Trend — 2025 vs 2026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Year_Month_Analysis!$B$3:$B$4</c:f>
              <c:strCache>
                <c:ptCount val="1"/>
                <c:pt idx="0">
                  <c:v>2025</c:v>
                </c:pt>
              </c:strCache>
            </c:strRef>
          </c:tx>
          <c:spPr>
            <a:ln w="28575" cap="rnd">
              <a:solidFill>
                <a:schemeClr val="accent1"/>
              </a:solidFill>
              <a:round/>
            </a:ln>
            <a:effectLst/>
          </c:spPr>
          <c:marker>
            <c:symbol val="none"/>
          </c:marker>
          <c:cat>
            <c:strRef>
              <c:f>Year_Month_Analysis!$A$5:$A$17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Year_Month_Analysis!$B$5:$B$17</c:f>
              <c:numCache>
                <c:formatCode>General</c:formatCode>
                <c:ptCount val="12"/>
                <c:pt idx="0">
                  <c:v>18845</c:v>
                </c:pt>
                <c:pt idx="1">
                  <c:v>24213</c:v>
                </c:pt>
                <c:pt idx="2">
                  <c:v>21348</c:v>
                </c:pt>
                <c:pt idx="3">
                  <c:v>22944</c:v>
                </c:pt>
                <c:pt idx="4">
                  <c:v>16970</c:v>
                </c:pt>
                <c:pt idx="5">
                  <c:v>9774</c:v>
                </c:pt>
                <c:pt idx="6">
                  <c:v>28960</c:v>
                </c:pt>
                <c:pt idx="7">
                  <c:v>14260.5</c:v>
                </c:pt>
                <c:pt idx="8">
                  <c:v>16310</c:v>
                </c:pt>
                <c:pt idx="9">
                  <c:v>20666</c:v>
                </c:pt>
                <c:pt idx="10">
                  <c:v>15439</c:v>
                </c:pt>
                <c:pt idx="11">
                  <c:v>12738.5</c:v>
                </c:pt>
              </c:numCache>
            </c:numRef>
          </c:val>
          <c:smooth val="0"/>
          <c:extLst>
            <c:ext xmlns:c16="http://schemas.microsoft.com/office/drawing/2014/chart" uri="{C3380CC4-5D6E-409C-BE32-E72D297353CC}">
              <c16:uniqueId val="{00000000-F27D-40B3-8894-AAEA05EA140E}"/>
            </c:ext>
          </c:extLst>
        </c:ser>
        <c:ser>
          <c:idx val="1"/>
          <c:order val="1"/>
          <c:tx>
            <c:strRef>
              <c:f>Year_Month_Analysis!$C$3:$C$4</c:f>
              <c:strCache>
                <c:ptCount val="1"/>
                <c:pt idx="0">
                  <c:v>2026</c:v>
                </c:pt>
              </c:strCache>
            </c:strRef>
          </c:tx>
          <c:spPr>
            <a:ln w="28575" cap="rnd">
              <a:solidFill>
                <a:schemeClr val="accent2"/>
              </a:solidFill>
              <a:round/>
            </a:ln>
            <a:effectLst/>
          </c:spPr>
          <c:marker>
            <c:symbol val="none"/>
          </c:marker>
          <c:cat>
            <c:strRef>
              <c:f>Year_Month_Analysis!$A$5:$A$17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Year_Month_Analysis!$C$5:$C$17</c:f>
              <c:numCache>
                <c:formatCode>General</c:formatCode>
                <c:ptCount val="12"/>
                <c:pt idx="0">
                  <c:v>20186</c:v>
                </c:pt>
                <c:pt idx="1">
                  <c:v>14607.5</c:v>
                </c:pt>
                <c:pt idx="2">
                  <c:v>8807.5</c:v>
                </c:pt>
                <c:pt idx="3">
                  <c:v>19825</c:v>
                </c:pt>
                <c:pt idx="4">
                  <c:v>23443.5</c:v>
                </c:pt>
                <c:pt idx="5">
                  <c:v>23380</c:v>
                </c:pt>
                <c:pt idx="6">
                  <c:v>17097.5</c:v>
                </c:pt>
                <c:pt idx="7">
                  <c:v>13475</c:v>
                </c:pt>
                <c:pt idx="8">
                  <c:v>21012</c:v>
                </c:pt>
                <c:pt idx="9">
                  <c:v>17447</c:v>
                </c:pt>
                <c:pt idx="10">
                  <c:v>14940</c:v>
                </c:pt>
                <c:pt idx="11">
                  <c:v>23990</c:v>
                </c:pt>
              </c:numCache>
            </c:numRef>
          </c:val>
          <c:smooth val="0"/>
          <c:extLst>
            <c:ext xmlns:c16="http://schemas.microsoft.com/office/drawing/2014/chart" uri="{C3380CC4-5D6E-409C-BE32-E72D297353CC}">
              <c16:uniqueId val="{00000006-F27D-40B3-8894-AAEA05EA140E}"/>
            </c:ext>
          </c:extLst>
        </c:ser>
        <c:dLbls>
          <c:showLegendKey val="0"/>
          <c:showVal val="0"/>
          <c:showCatName val="0"/>
          <c:showSerName val="0"/>
          <c:showPercent val="0"/>
          <c:showBubbleSize val="0"/>
        </c:dLbls>
        <c:smooth val="0"/>
        <c:axId val="256701551"/>
        <c:axId val="256689071"/>
      </c:lineChart>
      <c:catAx>
        <c:axId val="25670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89071"/>
        <c:crosses val="autoZero"/>
        <c:auto val="1"/>
        <c:lblAlgn val="ctr"/>
        <c:lblOffset val="100"/>
        <c:noMultiLvlLbl val="0"/>
      </c:catAx>
      <c:valAx>
        <c:axId val="25668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0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[Excel_Level_5_Interactive_Sales_Dashboard.xlsx]Pivot_Analysis!PivotTable7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by Salesperson</a:t>
            </a:r>
            <a:endParaRPr lang="en-US"/>
          </a:p>
        </c:rich>
      </c:tx>
      <c:layout>
        <c:manualLayout>
          <c:xMode val="edge"/>
          <c:yMode val="edge"/>
          <c:x val="0.2663193350831146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Pivot_Analysis!$F$10</c:f>
              <c:strCache>
                <c:ptCount val="1"/>
                <c:pt idx="0">
                  <c:v>Total</c:v>
                </c:pt>
              </c:strCache>
            </c:strRef>
          </c:tx>
          <c:spPr>
            <a:solidFill>
              <a:schemeClr val="accent1"/>
            </a:solidFill>
            <a:ln>
              <a:noFill/>
            </a:ln>
            <a:effectLst/>
          </c:spPr>
          <c:invertIfNegative val="0"/>
          <c:cat>
            <c:strRef>
              <c:f>Pivot_Analysis!$E$11:$E$19</c:f>
              <c:strCache>
                <c:ptCount val="8"/>
                <c:pt idx="0">
                  <c:v>David</c:v>
                </c:pt>
                <c:pt idx="1">
                  <c:v>Sarah</c:v>
                </c:pt>
                <c:pt idx="2">
                  <c:v>Michael</c:v>
                </c:pt>
                <c:pt idx="3">
                  <c:v>Aisha</c:v>
                </c:pt>
                <c:pt idx="4">
                  <c:v>Olivia</c:v>
                </c:pt>
                <c:pt idx="5">
                  <c:v>James</c:v>
                </c:pt>
                <c:pt idx="6">
                  <c:v>Emily</c:v>
                </c:pt>
                <c:pt idx="7">
                  <c:v>Daniel</c:v>
                </c:pt>
              </c:strCache>
            </c:strRef>
          </c:cat>
          <c:val>
            <c:numRef>
              <c:f>Pivot_Analysis!$F$11:$F$19</c:f>
              <c:numCache>
                <c:formatCode>"£"#,##0.00</c:formatCode>
                <c:ptCount val="8"/>
                <c:pt idx="0">
                  <c:v>83121.5</c:v>
                </c:pt>
                <c:pt idx="1">
                  <c:v>78382.5</c:v>
                </c:pt>
                <c:pt idx="2">
                  <c:v>69775</c:v>
                </c:pt>
                <c:pt idx="3">
                  <c:v>64666</c:v>
                </c:pt>
                <c:pt idx="4">
                  <c:v>38684.5</c:v>
                </c:pt>
                <c:pt idx="5">
                  <c:v>37961.5</c:v>
                </c:pt>
                <c:pt idx="6">
                  <c:v>35996</c:v>
                </c:pt>
                <c:pt idx="7">
                  <c:v>32092</c:v>
                </c:pt>
              </c:numCache>
            </c:numRef>
          </c:val>
          <c:extLst>
            <c:ext xmlns:c16="http://schemas.microsoft.com/office/drawing/2014/chart" uri="{C3380CC4-5D6E-409C-BE32-E72D297353CC}">
              <c16:uniqueId val="{00000000-5E27-41E3-B80E-24FBA2EB51A7}"/>
            </c:ext>
          </c:extLst>
        </c:ser>
        <c:dLbls>
          <c:showLegendKey val="0"/>
          <c:showVal val="0"/>
          <c:showCatName val="0"/>
          <c:showSerName val="0"/>
          <c:showPercent val="0"/>
          <c:showBubbleSize val="0"/>
        </c:dLbls>
        <c:gapWidth val="182"/>
        <c:axId val="181146799"/>
        <c:axId val="181160943"/>
      </c:barChart>
      <c:catAx>
        <c:axId val="181146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0943"/>
        <c:crosses val="autoZero"/>
        <c:auto val="1"/>
        <c:lblAlgn val="ctr"/>
        <c:lblOffset val="100"/>
        <c:noMultiLvlLbl val="0"/>
      </c:catAx>
      <c:valAx>
        <c:axId val="181160943"/>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[Excel_Level_5_Interactive_Sales_Dashboard.xlsx]Pivot_Analysis!PivotTable4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by Region</a:t>
            </a:r>
            <a:endParaRPr lang="en-GB"/>
          </a:p>
        </c:rich>
      </c:tx>
      <c:layout>
        <c:manualLayout>
          <c:xMode val="edge"/>
          <c:yMode val="edge"/>
          <c:x val="0.3362567804024497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Pivot_Analysis!$G$4:$G$8</c:f>
              <c:strCache>
                <c:ptCount val="4"/>
                <c:pt idx="0">
                  <c:v>South</c:v>
                </c:pt>
                <c:pt idx="1">
                  <c:v>North</c:v>
                </c:pt>
                <c:pt idx="2">
                  <c:v>East</c:v>
                </c:pt>
                <c:pt idx="3">
                  <c:v>West</c:v>
                </c:pt>
              </c:strCache>
            </c:strRef>
          </c:cat>
          <c:val>
            <c:numRef>
              <c:f>Pivot_Analysis!$H$4:$H$8</c:f>
              <c:numCache>
                <c:formatCode>"£"#,##0.00</c:formatCode>
                <c:ptCount val="4"/>
                <c:pt idx="0">
                  <c:v>121083</c:v>
                </c:pt>
                <c:pt idx="1">
                  <c:v>117067</c:v>
                </c:pt>
                <c:pt idx="2">
                  <c:v>105771</c:v>
                </c:pt>
                <c:pt idx="3">
                  <c:v>96758</c:v>
                </c:pt>
              </c:numCache>
            </c:numRef>
          </c:val>
          <c:extLst>
            <c:ext xmlns:c16="http://schemas.microsoft.com/office/drawing/2014/chart" uri="{C3380CC4-5D6E-409C-BE32-E72D297353CC}">
              <c16:uniqueId val="{00000000-7C2A-4828-885C-2F997B452B58}"/>
            </c:ext>
          </c:extLst>
        </c:ser>
        <c:dLbls>
          <c:showLegendKey val="0"/>
          <c:showVal val="0"/>
          <c:showCatName val="0"/>
          <c:showSerName val="0"/>
          <c:showPercent val="0"/>
          <c:showBubbleSize val="0"/>
        </c:dLbls>
        <c:gapWidth val="219"/>
        <c:overlap val="-27"/>
        <c:axId val="314449439"/>
        <c:axId val="314450271"/>
      </c:barChart>
      <c:catAx>
        <c:axId val="31444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50271"/>
        <c:crosses val="autoZero"/>
        <c:auto val="1"/>
        <c:lblAlgn val="ctr"/>
        <c:lblOffset val="100"/>
        <c:noMultiLvlLbl val="0"/>
      </c:catAx>
      <c:valAx>
        <c:axId val="31445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4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10160</xdr:colOff>
      <xdr:row>18</xdr:row>
      <xdr:rowOff>98470</xdr:rowOff>
    </xdr:to>
    <xdr:graphicFrame macro="">
      <xdr:nvGraphicFramePr>
        <xdr:cNvPr id="3" name="Chart 2">
          <a:extLst>
            <a:ext uri="{FF2B5EF4-FFF2-40B4-BE49-F238E27FC236}">
              <a16:creationId xmlns:a16="http://schemas.microsoft.com/office/drawing/2014/main" id="{14ACBDA7-0202-43D2-9256-9EFAA615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817880</xdr:colOff>
      <xdr:row>20</xdr:row>
      <xdr:rowOff>0</xdr:rowOff>
    </xdr:from>
    <xdr:to>
      <xdr:col>14</xdr:col>
      <xdr:colOff>843280</xdr:colOff>
      <xdr:row>35</xdr:row>
      <xdr:rowOff>0</xdr:rowOff>
    </xdr:to>
    <xdr:graphicFrame macro="">
      <xdr:nvGraphicFramePr>
        <xdr:cNvPr id="5" name="Chart 4">
          <a:extLst>
            <a:ext uri="{FF2B5EF4-FFF2-40B4-BE49-F238E27FC236}">
              <a16:creationId xmlns:a16="http://schemas.microsoft.com/office/drawing/2014/main" id="{BD436F2C-54B2-426D-9EF7-C15E7810D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7</xdr:col>
      <xdr:colOff>345440</xdr:colOff>
      <xdr:row>35</xdr:row>
      <xdr:rowOff>0</xdr:rowOff>
    </xdr:to>
    <xdr:graphicFrame macro="">
      <xdr:nvGraphicFramePr>
        <xdr:cNvPr id="6" name="Chart 5">
          <a:extLst>
            <a:ext uri="{FF2B5EF4-FFF2-40B4-BE49-F238E27FC236}">
              <a16:creationId xmlns:a16="http://schemas.microsoft.com/office/drawing/2014/main" id="{0C179394-C4EF-434E-B91B-0E686AA2A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569493</xdr:colOff>
      <xdr:row>0</xdr:row>
      <xdr:rowOff>144379</xdr:rowOff>
    </xdr:from>
    <xdr:to>
      <xdr:col>18</xdr:col>
      <xdr:colOff>561472</xdr:colOff>
      <xdr:row>5</xdr:row>
      <xdr:rowOff>16041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2D5B88E-C534-49F5-B4C8-AE208D7B7D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62192" y="144379"/>
              <a:ext cx="1809762" cy="1386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409073</xdr:colOff>
      <xdr:row>0</xdr:row>
      <xdr:rowOff>136359</xdr:rowOff>
    </xdr:from>
    <xdr:to>
      <xdr:col>22</xdr:col>
      <xdr:colOff>409073</xdr:colOff>
      <xdr:row>5</xdr:row>
      <xdr:rowOff>48126</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98878BFF-ACE3-4810-838D-CE7BF7DADF1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025483" y="136359"/>
              <a:ext cx="1817783" cy="1426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344906</xdr:colOff>
      <xdr:row>0</xdr:row>
      <xdr:rowOff>152401</xdr:rowOff>
    </xdr:from>
    <xdr:to>
      <xdr:col>26</xdr:col>
      <xdr:colOff>344906</xdr:colOff>
      <xdr:row>5</xdr:row>
      <xdr:rowOff>48126</xdr:rowOff>
    </xdr:to>
    <mc:AlternateContent xmlns:mc="http://schemas.openxmlformats.org/markup-compatibility/2006">
      <mc:Choice xmlns:a14="http://schemas.microsoft.com/office/drawing/2010/main" Requires="a14">
        <xdr:graphicFrame macro="">
          <xdr:nvGraphicFramePr>
            <xdr:cNvPr id="11" name="Years">
              <a:extLst>
                <a:ext uri="{FF2B5EF4-FFF2-40B4-BE49-F238E27FC236}">
                  <a16:creationId xmlns:a16="http://schemas.microsoft.com/office/drawing/2014/main" id="{0467115A-9E85-493C-B8D9-07C590BA17D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8385026" y="152401"/>
              <a:ext cx="1817784" cy="14105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278.600662384262" createdVersion="7" refreshedVersion="7" minRefreshableVersion="3" recordCount="192" xr:uid="{E4D54CB6-0E67-4387-8D76-7526A9447318}">
  <cacheSource type="worksheet">
    <worksheetSource name="Sales_Data"/>
  </cacheSource>
  <cacheFields count="10">
    <cacheField name="Order_ID" numFmtId="0">
      <sharedItems/>
    </cacheField>
    <cacheField name="Date" numFmtId="14">
      <sharedItems containsSemiMixedTypes="0" containsNonDate="0" containsDate="1" containsString="0" minDate="2025-01-03T00:00:00" maxDate="2026-12-25T00:00:00" count="192">
        <d v="2025-01-03T00:00:00"/>
        <d v="2025-01-06T00:00:00"/>
        <d v="2025-01-09T00:00:00"/>
        <d v="2025-01-12T00:00:00"/>
        <d v="2025-01-15T00:00:00"/>
        <d v="2025-01-18T00:00:00"/>
        <d v="2025-01-21T00:00:00"/>
        <d v="2025-01-24T00:00:00"/>
        <d v="2025-02-03T00:00:00"/>
        <d v="2025-02-06T00:00:00"/>
        <d v="2025-02-09T00:00:00"/>
        <d v="2025-02-12T00:00:00"/>
        <d v="2025-02-15T00:00:00"/>
        <d v="2025-02-18T00:00:00"/>
        <d v="2025-02-21T00:00:00"/>
        <d v="2025-02-24T00:00:00"/>
        <d v="2025-03-03T00:00:00"/>
        <d v="2025-03-06T00:00:00"/>
        <d v="2025-03-09T00:00:00"/>
        <d v="2025-03-12T00:00:00"/>
        <d v="2025-03-15T00:00:00"/>
        <d v="2025-03-18T00:00:00"/>
        <d v="2025-03-21T00:00:00"/>
        <d v="2025-03-24T00:00:00"/>
        <d v="2025-04-03T00:00:00"/>
        <d v="2025-04-06T00:00:00"/>
        <d v="2025-04-09T00:00:00"/>
        <d v="2025-04-12T00:00:00"/>
        <d v="2025-04-15T00:00:00"/>
        <d v="2025-04-18T00:00:00"/>
        <d v="2025-04-21T00:00:00"/>
        <d v="2025-04-24T00:00:00"/>
        <d v="2025-05-03T00:00:00"/>
        <d v="2025-05-06T00:00:00"/>
        <d v="2025-05-09T00:00:00"/>
        <d v="2025-05-12T00:00:00"/>
        <d v="2025-05-15T00:00:00"/>
        <d v="2025-05-18T00:00:00"/>
        <d v="2025-05-21T00:00:00"/>
        <d v="2025-05-24T00:00:00"/>
        <d v="2025-06-03T00:00:00"/>
        <d v="2025-06-06T00:00:00"/>
        <d v="2025-06-09T00:00:00"/>
        <d v="2025-06-12T00:00:00"/>
        <d v="2025-06-15T00:00:00"/>
        <d v="2025-06-18T00:00:00"/>
        <d v="2025-06-21T00:00:00"/>
        <d v="2025-06-24T00:00:00"/>
        <d v="2025-07-03T00:00:00"/>
        <d v="2025-07-06T00:00:00"/>
        <d v="2025-07-09T00:00:00"/>
        <d v="2025-07-12T00:00:00"/>
        <d v="2025-07-15T00:00:00"/>
        <d v="2025-07-18T00:00:00"/>
        <d v="2025-07-21T00:00:00"/>
        <d v="2025-07-24T00:00:00"/>
        <d v="2025-08-03T00:00:00"/>
        <d v="2025-08-06T00:00:00"/>
        <d v="2025-08-09T00:00:00"/>
        <d v="2025-08-12T00:00:00"/>
        <d v="2025-08-15T00:00:00"/>
        <d v="2025-08-18T00:00:00"/>
        <d v="2025-08-21T00:00:00"/>
        <d v="2025-08-24T00:00:00"/>
        <d v="2025-09-03T00:00:00"/>
        <d v="2025-09-06T00:00:00"/>
        <d v="2025-09-09T00:00:00"/>
        <d v="2025-09-12T00:00:00"/>
        <d v="2025-09-15T00:00:00"/>
        <d v="2025-09-18T00:00:00"/>
        <d v="2025-09-21T00:00:00"/>
        <d v="2025-09-24T00:00:00"/>
        <d v="2025-10-03T00:00:00"/>
        <d v="2025-10-06T00:00:00"/>
        <d v="2025-10-09T00:00:00"/>
        <d v="2025-10-12T00:00:00"/>
        <d v="2025-10-15T00:00:00"/>
        <d v="2025-10-18T00:00:00"/>
        <d v="2025-10-21T00:00:00"/>
        <d v="2025-10-24T00:00:00"/>
        <d v="2025-11-03T00:00:00"/>
        <d v="2025-11-06T00:00:00"/>
        <d v="2025-11-09T00:00:00"/>
        <d v="2025-11-12T00:00:00"/>
        <d v="2025-11-15T00:00:00"/>
        <d v="2025-11-18T00:00:00"/>
        <d v="2025-11-21T00:00:00"/>
        <d v="2025-11-24T00:00:00"/>
        <d v="2025-12-03T00:00:00"/>
        <d v="2025-12-06T00:00:00"/>
        <d v="2025-12-09T00:00:00"/>
        <d v="2025-12-12T00:00:00"/>
        <d v="2025-12-15T00:00:00"/>
        <d v="2025-12-18T00:00:00"/>
        <d v="2025-12-21T00:00:00"/>
        <d v="2025-12-24T00:00:00"/>
        <d v="2026-01-03T00:00:00"/>
        <d v="2026-01-06T00:00:00"/>
        <d v="2026-01-09T00:00:00"/>
        <d v="2026-01-12T00:00:00"/>
        <d v="2026-01-15T00:00:00"/>
        <d v="2026-01-18T00:00:00"/>
        <d v="2026-01-21T00:00:00"/>
        <d v="2026-01-24T00:00:00"/>
        <d v="2026-02-03T00:00:00"/>
        <d v="2026-02-06T00:00:00"/>
        <d v="2026-02-09T00:00:00"/>
        <d v="2026-02-12T00:00:00"/>
        <d v="2026-02-15T00:00:00"/>
        <d v="2026-02-18T00:00:00"/>
        <d v="2026-02-21T00:00:00"/>
        <d v="2026-02-24T00:00:00"/>
        <d v="2026-03-03T00:00:00"/>
        <d v="2026-03-06T00:00:00"/>
        <d v="2026-03-09T00:00:00"/>
        <d v="2026-03-12T00:00:00"/>
        <d v="2026-03-15T00:00:00"/>
        <d v="2026-03-18T00:00:00"/>
        <d v="2026-03-21T00:00:00"/>
        <d v="2026-03-24T00:00:00"/>
        <d v="2026-04-03T00:00:00"/>
        <d v="2026-04-06T00:00:00"/>
        <d v="2026-04-09T00:00:00"/>
        <d v="2026-04-12T00:00:00"/>
        <d v="2026-04-15T00:00:00"/>
        <d v="2026-04-18T00:00:00"/>
        <d v="2026-04-21T00:00:00"/>
        <d v="2026-04-24T00:00:00"/>
        <d v="2026-05-03T00:00:00"/>
        <d v="2026-05-06T00:00:00"/>
        <d v="2026-05-09T00:00:00"/>
        <d v="2026-05-12T00:00:00"/>
        <d v="2026-05-15T00:00:00"/>
        <d v="2026-05-18T00:00:00"/>
        <d v="2026-05-21T00:00:00"/>
        <d v="2026-05-24T00:00:00"/>
        <d v="2026-06-03T00:00:00"/>
        <d v="2026-06-06T00:00:00"/>
        <d v="2026-06-09T00:00:00"/>
        <d v="2026-06-12T00:00:00"/>
        <d v="2026-06-15T00:00:00"/>
        <d v="2026-06-18T00:00:00"/>
        <d v="2026-06-21T00:00:00"/>
        <d v="2026-06-24T00:00:00"/>
        <d v="2026-07-03T00:00:00"/>
        <d v="2026-07-06T00:00:00"/>
        <d v="2026-07-09T00:00:00"/>
        <d v="2026-07-12T00:00:00"/>
        <d v="2026-07-15T00:00:00"/>
        <d v="2026-07-18T00:00:00"/>
        <d v="2026-07-21T00:00:00"/>
        <d v="2026-07-24T00:00:00"/>
        <d v="2026-08-03T00:00:00"/>
        <d v="2026-08-06T00:00:00"/>
        <d v="2026-08-09T00:00:00"/>
        <d v="2026-08-12T00:00:00"/>
        <d v="2026-08-15T00:00:00"/>
        <d v="2026-08-18T00:00:00"/>
        <d v="2026-08-21T00:00:00"/>
        <d v="2026-08-24T00:00:00"/>
        <d v="2026-09-03T00:00:00"/>
        <d v="2026-09-06T00:00:00"/>
        <d v="2026-09-09T00:00:00"/>
        <d v="2026-09-12T00:00:00"/>
        <d v="2026-09-15T00:00:00"/>
        <d v="2026-09-18T00:00:00"/>
        <d v="2026-09-21T00:00:00"/>
        <d v="2026-09-24T00:00:00"/>
        <d v="2026-10-03T00:00:00"/>
        <d v="2026-10-06T00:00:00"/>
        <d v="2026-10-09T00:00:00"/>
        <d v="2026-10-12T00:00:00"/>
        <d v="2026-10-15T00:00:00"/>
        <d v="2026-10-18T00:00:00"/>
        <d v="2026-10-21T00:00:00"/>
        <d v="2026-10-24T00:00:00"/>
        <d v="2026-11-03T00:00:00"/>
        <d v="2026-11-06T00:00:00"/>
        <d v="2026-11-09T00:00:00"/>
        <d v="2026-11-12T00:00:00"/>
        <d v="2026-11-15T00:00:00"/>
        <d v="2026-11-18T00:00:00"/>
        <d v="2026-11-21T00:00:00"/>
        <d v="2026-11-24T00:00:00"/>
        <d v="2026-12-03T00:00:00"/>
        <d v="2026-12-06T00:00:00"/>
        <d v="2026-12-09T00:00:00"/>
        <d v="2026-12-12T00:00:00"/>
        <d v="2026-12-15T00:00:00"/>
        <d v="2026-12-18T00:00:00"/>
        <d v="2026-12-21T00:00:00"/>
        <d v="2026-12-24T00:00:00"/>
      </sharedItems>
      <fieldGroup par="9" base="1">
        <rangePr groupBy="months" startDate="2025-01-03T00:00:00" endDate="2026-12-25T00:00:00"/>
        <groupItems count="14">
          <s v="&lt;03/01/2025"/>
          <s v="Jan"/>
          <s v="Feb"/>
          <s v="Mar"/>
          <s v="Apr"/>
          <s v="May"/>
          <s v="Jun"/>
          <s v="Jul"/>
          <s v="Aug"/>
          <s v="Sep"/>
          <s v="Oct"/>
          <s v="Nov"/>
          <s v="Dec"/>
          <s v="&gt;25/12/2026"/>
        </groupItems>
      </fieldGroup>
    </cacheField>
    <cacheField name="Region" numFmtId="0">
      <sharedItems count="4">
        <s v="East"/>
        <s v="West"/>
        <s v="North"/>
        <s v="South"/>
      </sharedItems>
    </cacheField>
    <cacheField name="Product" numFmtId="0">
      <sharedItems count="8">
        <s v="Monitor"/>
        <s v="Keyboard"/>
        <s v="Webcam"/>
        <s v="Tablet"/>
        <s v="Mouse"/>
        <s v="Laptop"/>
        <s v="Printer"/>
        <s v="Headset"/>
      </sharedItems>
    </cacheField>
    <cacheField name="Category" numFmtId="0">
      <sharedItems/>
    </cacheField>
    <cacheField name="Salesperson" numFmtId="0">
      <sharedItems count="8">
        <s v="Emily"/>
        <s v="Aisha"/>
        <s v="Olivia"/>
        <s v="David"/>
        <s v="Daniel"/>
        <s v="Sarah"/>
        <s v="James"/>
        <s v="Michael"/>
      </sharedItems>
    </cacheField>
    <cacheField name="Units" numFmtId="1">
      <sharedItems containsSemiMixedTypes="0" containsString="0" containsNumber="1" containsInteger="1" minValue="1" maxValue="12"/>
    </cacheField>
    <cacheField name="Unit_Price" numFmtId="164">
      <sharedItems containsSemiMixedTypes="0" containsString="0" containsNumber="1" minValue="57" maxValue="1260"/>
    </cacheField>
    <cacheField name="Revenue" numFmtId="164">
      <sharedItems containsSemiMixedTypes="0" containsString="0" containsNumber="1" minValue="60" maxValue="13200"/>
    </cacheField>
    <cacheField name="Years" numFmtId="0" databaseField="0">
      <fieldGroup base="1">
        <rangePr groupBy="years" startDate="2025-01-03T00:00:00" endDate="2026-12-25T00:00:00"/>
        <groupItems count="4">
          <s v="&lt;03/01/2025"/>
          <s v="2025"/>
          <s v="2026"/>
          <s v="&gt;25/12/2026"/>
        </groupItems>
      </fieldGroup>
    </cacheField>
  </cacheFields>
  <extLst>
    <ext xmlns:x14="http://schemas.microsoft.com/office/spreadsheetml/2009/9/main" uri="{725AE2AE-9491-48be-B2B4-4EB974FC3084}">
      <x14:pivotCacheDefinition pivotCacheId="1939392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s v="O0001"/>
    <x v="0"/>
    <x v="0"/>
    <x v="0"/>
    <s v="Technology"/>
    <x v="0"/>
    <n v="3"/>
    <n v="285"/>
    <n v="855"/>
  </r>
  <r>
    <s v="O0002"/>
    <x v="1"/>
    <x v="1"/>
    <x v="1"/>
    <s v="Accessories"/>
    <x v="1"/>
    <n v="5"/>
    <n v="100"/>
    <n v="500"/>
  </r>
  <r>
    <s v="O0003"/>
    <x v="2"/>
    <x v="2"/>
    <x v="2"/>
    <s v="Accessories"/>
    <x v="2"/>
    <n v="6"/>
    <n v="110"/>
    <n v="660"/>
  </r>
  <r>
    <s v="O0004"/>
    <x v="3"/>
    <x v="3"/>
    <x v="3"/>
    <s v="Technology"/>
    <x v="3"/>
    <n v="9"/>
    <n v="650"/>
    <n v="5850"/>
  </r>
  <r>
    <s v="O0005"/>
    <x v="4"/>
    <x v="0"/>
    <x v="4"/>
    <s v="Accessories"/>
    <x v="0"/>
    <n v="7"/>
    <n v="60"/>
    <n v="420"/>
  </r>
  <r>
    <s v="O0006"/>
    <x v="5"/>
    <x v="1"/>
    <x v="5"/>
    <s v="Technology"/>
    <x v="1"/>
    <n v="4"/>
    <n v="1200"/>
    <n v="4800"/>
  </r>
  <r>
    <s v="O0007"/>
    <x v="6"/>
    <x v="2"/>
    <x v="6"/>
    <s v="Office Equipment"/>
    <x v="2"/>
    <n v="10"/>
    <n v="450"/>
    <n v="4500"/>
  </r>
  <r>
    <s v="O0008"/>
    <x v="7"/>
    <x v="3"/>
    <x v="7"/>
    <s v="Accessories"/>
    <x v="3"/>
    <n v="9"/>
    <n v="140"/>
    <n v="1260"/>
  </r>
  <r>
    <s v="O0009"/>
    <x v="8"/>
    <x v="1"/>
    <x v="3"/>
    <s v="Technology"/>
    <x v="1"/>
    <n v="7"/>
    <n v="650"/>
    <n v="4550"/>
  </r>
  <r>
    <s v="O0010"/>
    <x v="9"/>
    <x v="2"/>
    <x v="4"/>
    <s v="Accessories"/>
    <x v="2"/>
    <n v="5"/>
    <n v="60"/>
    <n v="300"/>
  </r>
  <r>
    <s v="O0011"/>
    <x v="10"/>
    <x v="3"/>
    <x v="5"/>
    <s v="Technology"/>
    <x v="3"/>
    <n v="10"/>
    <n v="1200"/>
    <n v="12000"/>
  </r>
  <r>
    <s v="O0012"/>
    <x v="11"/>
    <x v="0"/>
    <x v="6"/>
    <s v="Office Equipment"/>
    <x v="0"/>
    <n v="4"/>
    <n v="427.5"/>
    <n v="1710"/>
  </r>
  <r>
    <s v="O0013"/>
    <x v="12"/>
    <x v="1"/>
    <x v="7"/>
    <s v="Accessories"/>
    <x v="1"/>
    <n v="1"/>
    <n v="133"/>
    <n v="133"/>
  </r>
  <r>
    <s v="O0014"/>
    <x v="13"/>
    <x v="2"/>
    <x v="0"/>
    <s v="Technology"/>
    <x v="2"/>
    <n v="12"/>
    <n v="300"/>
    <n v="3600"/>
  </r>
  <r>
    <s v="O0015"/>
    <x v="14"/>
    <x v="3"/>
    <x v="1"/>
    <s v="Accessories"/>
    <x v="3"/>
    <n v="12"/>
    <n v="105"/>
    <n v="1260"/>
  </r>
  <r>
    <s v="O0016"/>
    <x v="15"/>
    <x v="0"/>
    <x v="2"/>
    <s v="Accessories"/>
    <x v="0"/>
    <n v="6"/>
    <n v="110"/>
    <n v="660"/>
  </r>
  <r>
    <s v="O0017"/>
    <x v="16"/>
    <x v="2"/>
    <x v="6"/>
    <s v="Office Equipment"/>
    <x v="2"/>
    <n v="4"/>
    <n v="427.5"/>
    <n v="1710"/>
  </r>
  <r>
    <s v="O0018"/>
    <x v="17"/>
    <x v="3"/>
    <x v="7"/>
    <s v="Accessories"/>
    <x v="3"/>
    <n v="9"/>
    <n v="147"/>
    <n v="1323"/>
  </r>
  <r>
    <s v="O0019"/>
    <x v="18"/>
    <x v="0"/>
    <x v="0"/>
    <s v="Technology"/>
    <x v="0"/>
    <n v="2"/>
    <n v="285"/>
    <n v="570"/>
  </r>
  <r>
    <s v="O0020"/>
    <x v="19"/>
    <x v="1"/>
    <x v="1"/>
    <s v="Accessories"/>
    <x v="1"/>
    <n v="11"/>
    <n v="95"/>
    <n v="1045"/>
  </r>
  <r>
    <s v="O0021"/>
    <x v="20"/>
    <x v="2"/>
    <x v="2"/>
    <s v="Accessories"/>
    <x v="2"/>
    <n v="4"/>
    <n v="110"/>
    <n v="440"/>
  </r>
  <r>
    <s v="O0022"/>
    <x v="21"/>
    <x v="3"/>
    <x v="3"/>
    <s v="Technology"/>
    <x v="3"/>
    <n v="12"/>
    <n v="650"/>
    <n v="7800"/>
  </r>
  <r>
    <s v="O0023"/>
    <x v="22"/>
    <x v="0"/>
    <x v="4"/>
    <s v="Accessories"/>
    <x v="0"/>
    <n v="1"/>
    <n v="60"/>
    <n v="60"/>
  </r>
  <r>
    <s v="O0024"/>
    <x v="23"/>
    <x v="1"/>
    <x v="5"/>
    <s v="Technology"/>
    <x v="1"/>
    <n v="7"/>
    <n v="1200"/>
    <n v="8400"/>
  </r>
  <r>
    <s v="O0025"/>
    <x v="24"/>
    <x v="3"/>
    <x v="1"/>
    <s v="Accessories"/>
    <x v="3"/>
    <n v="2"/>
    <n v="95"/>
    <n v="190"/>
  </r>
  <r>
    <s v="O0026"/>
    <x v="25"/>
    <x v="0"/>
    <x v="2"/>
    <s v="Accessories"/>
    <x v="0"/>
    <n v="2"/>
    <n v="104.5"/>
    <n v="209"/>
  </r>
  <r>
    <s v="O0027"/>
    <x v="26"/>
    <x v="1"/>
    <x v="3"/>
    <s v="Technology"/>
    <x v="1"/>
    <n v="10"/>
    <n v="682.5"/>
    <n v="6825"/>
  </r>
  <r>
    <s v="O0028"/>
    <x v="27"/>
    <x v="2"/>
    <x v="4"/>
    <s v="Accessories"/>
    <x v="2"/>
    <n v="8"/>
    <n v="60"/>
    <n v="480"/>
  </r>
  <r>
    <s v="O0029"/>
    <x v="28"/>
    <x v="3"/>
    <x v="5"/>
    <s v="Technology"/>
    <x v="3"/>
    <n v="6"/>
    <n v="1260"/>
    <n v="7560"/>
  </r>
  <r>
    <s v="O0030"/>
    <x v="29"/>
    <x v="0"/>
    <x v="6"/>
    <s v="Office Equipment"/>
    <x v="0"/>
    <n v="8"/>
    <n v="450"/>
    <n v="3600"/>
  </r>
  <r>
    <s v="O0031"/>
    <x v="30"/>
    <x v="1"/>
    <x v="7"/>
    <s v="Accessories"/>
    <x v="1"/>
    <n v="12"/>
    <n v="140"/>
    <n v="1680"/>
  </r>
  <r>
    <s v="O0032"/>
    <x v="31"/>
    <x v="2"/>
    <x v="0"/>
    <s v="Technology"/>
    <x v="2"/>
    <n v="8"/>
    <n v="300"/>
    <n v="2400"/>
  </r>
  <r>
    <s v="O0033"/>
    <x v="32"/>
    <x v="0"/>
    <x v="4"/>
    <s v="Accessories"/>
    <x v="0"/>
    <n v="2"/>
    <n v="57"/>
    <n v="114"/>
  </r>
  <r>
    <s v="O0034"/>
    <x v="33"/>
    <x v="1"/>
    <x v="5"/>
    <s v="Technology"/>
    <x v="1"/>
    <n v="4"/>
    <n v="1200"/>
    <n v="4800"/>
  </r>
  <r>
    <s v="O0035"/>
    <x v="34"/>
    <x v="2"/>
    <x v="6"/>
    <s v="Office Equipment"/>
    <x v="2"/>
    <n v="6"/>
    <n v="450"/>
    <n v="2700"/>
  </r>
  <r>
    <s v="O0036"/>
    <x v="35"/>
    <x v="3"/>
    <x v="7"/>
    <s v="Accessories"/>
    <x v="3"/>
    <n v="2"/>
    <n v="140"/>
    <n v="280"/>
  </r>
  <r>
    <s v="O0037"/>
    <x v="36"/>
    <x v="0"/>
    <x v="0"/>
    <s v="Technology"/>
    <x v="0"/>
    <n v="6"/>
    <n v="315"/>
    <n v="1890"/>
  </r>
  <r>
    <s v="O0038"/>
    <x v="37"/>
    <x v="1"/>
    <x v="1"/>
    <s v="Accessories"/>
    <x v="1"/>
    <n v="6"/>
    <n v="100"/>
    <n v="600"/>
  </r>
  <r>
    <s v="O0039"/>
    <x v="38"/>
    <x v="2"/>
    <x v="2"/>
    <s v="Accessories"/>
    <x v="2"/>
    <n v="12"/>
    <n v="115.5"/>
    <n v="1386"/>
  </r>
  <r>
    <s v="O0040"/>
    <x v="39"/>
    <x v="3"/>
    <x v="3"/>
    <s v="Technology"/>
    <x v="3"/>
    <n v="8"/>
    <n v="650"/>
    <n v="5200"/>
  </r>
  <r>
    <s v="O0041"/>
    <x v="40"/>
    <x v="1"/>
    <x v="7"/>
    <s v="Accessories"/>
    <x v="1"/>
    <n v="3"/>
    <n v="140"/>
    <n v="420"/>
  </r>
  <r>
    <s v="O0042"/>
    <x v="41"/>
    <x v="2"/>
    <x v="0"/>
    <s v="Technology"/>
    <x v="2"/>
    <n v="2"/>
    <n v="300"/>
    <n v="600"/>
  </r>
  <r>
    <s v="O0043"/>
    <x v="42"/>
    <x v="3"/>
    <x v="1"/>
    <s v="Accessories"/>
    <x v="3"/>
    <n v="3"/>
    <n v="95"/>
    <n v="285"/>
  </r>
  <r>
    <s v="O0044"/>
    <x v="43"/>
    <x v="0"/>
    <x v="2"/>
    <s v="Accessories"/>
    <x v="0"/>
    <n v="4"/>
    <n v="110"/>
    <n v="440"/>
  </r>
  <r>
    <s v="O0045"/>
    <x v="44"/>
    <x v="1"/>
    <x v="3"/>
    <s v="Technology"/>
    <x v="1"/>
    <n v="2"/>
    <n v="650"/>
    <n v="1300"/>
  </r>
  <r>
    <s v="O0046"/>
    <x v="45"/>
    <x v="2"/>
    <x v="4"/>
    <s v="Accessories"/>
    <x v="2"/>
    <n v="3"/>
    <n v="63"/>
    <n v="189"/>
  </r>
  <r>
    <s v="O0047"/>
    <x v="46"/>
    <x v="3"/>
    <x v="5"/>
    <s v="Technology"/>
    <x v="3"/>
    <n v="1"/>
    <n v="1140"/>
    <n v="1140"/>
  </r>
  <r>
    <s v="O0048"/>
    <x v="47"/>
    <x v="0"/>
    <x v="6"/>
    <s v="Office Equipment"/>
    <x v="0"/>
    <n v="12"/>
    <n v="450"/>
    <n v="5400"/>
  </r>
  <r>
    <s v="O0049"/>
    <x v="48"/>
    <x v="2"/>
    <x v="2"/>
    <s v="Accessories"/>
    <x v="2"/>
    <n v="3"/>
    <n v="110"/>
    <n v="330"/>
  </r>
  <r>
    <s v="O0050"/>
    <x v="49"/>
    <x v="3"/>
    <x v="3"/>
    <s v="Technology"/>
    <x v="3"/>
    <n v="10"/>
    <n v="650"/>
    <n v="6500"/>
  </r>
  <r>
    <s v="O0051"/>
    <x v="50"/>
    <x v="0"/>
    <x v="4"/>
    <s v="Accessories"/>
    <x v="0"/>
    <n v="7"/>
    <n v="60"/>
    <n v="420"/>
  </r>
  <r>
    <s v="O0052"/>
    <x v="51"/>
    <x v="1"/>
    <x v="5"/>
    <s v="Technology"/>
    <x v="1"/>
    <n v="10"/>
    <n v="1200"/>
    <n v="12000"/>
  </r>
  <r>
    <s v="O0053"/>
    <x v="52"/>
    <x v="2"/>
    <x v="6"/>
    <s v="Office Equipment"/>
    <x v="2"/>
    <n v="9"/>
    <n v="450"/>
    <n v="4050"/>
  </r>
  <r>
    <s v="O0054"/>
    <x v="53"/>
    <x v="3"/>
    <x v="7"/>
    <s v="Accessories"/>
    <x v="3"/>
    <n v="9"/>
    <n v="140"/>
    <n v="1260"/>
  </r>
  <r>
    <s v="O0055"/>
    <x v="54"/>
    <x v="0"/>
    <x v="0"/>
    <s v="Technology"/>
    <x v="0"/>
    <n v="12"/>
    <n v="300"/>
    <n v="3600"/>
  </r>
  <r>
    <s v="O0056"/>
    <x v="55"/>
    <x v="1"/>
    <x v="1"/>
    <s v="Accessories"/>
    <x v="1"/>
    <n v="8"/>
    <n v="100"/>
    <n v="800"/>
  </r>
  <r>
    <s v="O0057"/>
    <x v="56"/>
    <x v="3"/>
    <x v="5"/>
    <s v="Technology"/>
    <x v="3"/>
    <n v="1"/>
    <n v="1200"/>
    <n v="1200"/>
  </r>
  <r>
    <s v="O0058"/>
    <x v="57"/>
    <x v="0"/>
    <x v="6"/>
    <s v="Office Equipment"/>
    <x v="0"/>
    <n v="11"/>
    <n v="472.5"/>
    <n v="5197.5"/>
  </r>
  <r>
    <s v="O0059"/>
    <x v="58"/>
    <x v="1"/>
    <x v="7"/>
    <s v="Accessories"/>
    <x v="1"/>
    <n v="3"/>
    <n v="140"/>
    <n v="420"/>
  </r>
  <r>
    <s v="O0060"/>
    <x v="59"/>
    <x v="2"/>
    <x v="0"/>
    <s v="Technology"/>
    <x v="2"/>
    <n v="4"/>
    <n v="300"/>
    <n v="1200"/>
  </r>
  <r>
    <s v="O0061"/>
    <x v="60"/>
    <x v="3"/>
    <x v="1"/>
    <s v="Accessories"/>
    <x v="3"/>
    <n v="9"/>
    <n v="100"/>
    <n v="900"/>
  </r>
  <r>
    <s v="O0062"/>
    <x v="61"/>
    <x v="0"/>
    <x v="2"/>
    <s v="Accessories"/>
    <x v="0"/>
    <n v="12"/>
    <n v="104.5"/>
    <n v="1254"/>
  </r>
  <r>
    <s v="O0063"/>
    <x v="62"/>
    <x v="1"/>
    <x v="3"/>
    <s v="Technology"/>
    <x v="1"/>
    <n v="6"/>
    <n v="650"/>
    <n v="3900"/>
  </r>
  <r>
    <s v="O0064"/>
    <x v="63"/>
    <x v="2"/>
    <x v="4"/>
    <s v="Accessories"/>
    <x v="2"/>
    <n v="3"/>
    <n v="63"/>
    <n v="189"/>
  </r>
  <r>
    <s v="O0065"/>
    <x v="64"/>
    <x v="0"/>
    <x v="0"/>
    <s v="Technology"/>
    <x v="0"/>
    <n v="6"/>
    <n v="300"/>
    <n v="1800"/>
  </r>
  <r>
    <s v="O0066"/>
    <x v="65"/>
    <x v="1"/>
    <x v="1"/>
    <s v="Accessories"/>
    <x v="1"/>
    <n v="7"/>
    <n v="100"/>
    <n v="700"/>
  </r>
  <r>
    <s v="O0067"/>
    <x v="66"/>
    <x v="2"/>
    <x v="2"/>
    <s v="Accessories"/>
    <x v="2"/>
    <n v="4"/>
    <n v="110"/>
    <n v="440"/>
  </r>
  <r>
    <s v="O0068"/>
    <x v="67"/>
    <x v="3"/>
    <x v="3"/>
    <s v="Technology"/>
    <x v="3"/>
    <n v="9"/>
    <n v="650"/>
    <n v="5850"/>
  </r>
  <r>
    <s v="O0069"/>
    <x v="68"/>
    <x v="0"/>
    <x v="4"/>
    <s v="Accessories"/>
    <x v="0"/>
    <n v="1"/>
    <n v="60"/>
    <n v="60"/>
  </r>
  <r>
    <s v="O0070"/>
    <x v="69"/>
    <x v="1"/>
    <x v="5"/>
    <s v="Technology"/>
    <x v="1"/>
    <n v="2"/>
    <n v="1200"/>
    <n v="2400"/>
  </r>
  <r>
    <s v="O0071"/>
    <x v="70"/>
    <x v="2"/>
    <x v="6"/>
    <s v="Office Equipment"/>
    <x v="2"/>
    <n v="10"/>
    <n v="450"/>
    <n v="4500"/>
  </r>
  <r>
    <s v="O0072"/>
    <x v="71"/>
    <x v="3"/>
    <x v="7"/>
    <s v="Accessories"/>
    <x v="3"/>
    <n v="4"/>
    <n v="140"/>
    <n v="560"/>
  </r>
  <r>
    <s v="O0073"/>
    <x v="72"/>
    <x v="1"/>
    <x v="3"/>
    <s v="Technology"/>
    <x v="1"/>
    <n v="3"/>
    <n v="650"/>
    <n v="1950"/>
  </r>
  <r>
    <s v="O0074"/>
    <x v="73"/>
    <x v="2"/>
    <x v="4"/>
    <s v="Accessories"/>
    <x v="2"/>
    <n v="1"/>
    <n v="60"/>
    <n v="60"/>
  </r>
  <r>
    <s v="O0075"/>
    <x v="74"/>
    <x v="3"/>
    <x v="5"/>
    <s v="Technology"/>
    <x v="3"/>
    <n v="11"/>
    <n v="1200"/>
    <n v="13200"/>
  </r>
  <r>
    <s v="O0076"/>
    <x v="75"/>
    <x v="0"/>
    <x v="6"/>
    <s v="Office Equipment"/>
    <x v="0"/>
    <n v="2"/>
    <n v="450"/>
    <n v="900"/>
  </r>
  <r>
    <s v="O0077"/>
    <x v="76"/>
    <x v="1"/>
    <x v="7"/>
    <s v="Accessories"/>
    <x v="1"/>
    <n v="7"/>
    <n v="133"/>
    <n v="931"/>
  </r>
  <r>
    <s v="O0078"/>
    <x v="77"/>
    <x v="2"/>
    <x v="0"/>
    <s v="Technology"/>
    <x v="2"/>
    <n v="7"/>
    <n v="300"/>
    <n v="2100"/>
  </r>
  <r>
    <s v="O0079"/>
    <x v="78"/>
    <x v="3"/>
    <x v="1"/>
    <s v="Accessories"/>
    <x v="3"/>
    <n v="3"/>
    <n v="105"/>
    <n v="315"/>
  </r>
  <r>
    <s v="O0080"/>
    <x v="79"/>
    <x v="0"/>
    <x v="2"/>
    <s v="Accessories"/>
    <x v="0"/>
    <n v="11"/>
    <n v="110"/>
    <n v="1210"/>
  </r>
  <r>
    <s v="O0081"/>
    <x v="80"/>
    <x v="2"/>
    <x v="6"/>
    <s v="Office Equipment"/>
    <x v="2"/>
    <n v="5"/>
    <n v="450"/>
    <n v="2250"/>
  </r>
  <r>
    <s v="O0082"/>
    <x v="81"/>
    <x v="3"/>
    <x v="7"/>
    <s v="Accessories"/>
    <x v="3"/>
    <n v="7"/>
    <n v="133"/>
    <n v="931"/>
  </r>
  <r>
    <s v="O0083"/>
    <x v="82"/>
    <x v="0"/>
    <x v="0"/>
    <s v="Technology"/>
    <x v="0"/>
    <n v="1"/>
    <n v="300"/>
    <n v="300"/>
  </r>
  <r>
    <s v="O0084"/>
    <x v="83"/>
    <x v="1"/>
    <x v="1"/>
    <s v="Accessories"/>
    <x v="1"/>
    <n v="4"/>
    <n v="105"/>
    <n v="420"/>
  </r>
  <r>
    <s v="O0085"/>
    <x v="84"/>
    <x v="2"/>
    <x v="2"/>
    <s v="Accessories"/>
    <x v="2"/>
    <n v="9"/>
    <n v="104.5"/>
    <n v="940.5"/>
  </r>
  <r>
    <s v="O0086"/>
    <x v="85"/>
    <x v="3"/>
    <x v="3"/>
    <s v="Technology"/>
    <x v="3"/>
    <n v="9"/>
    <n v="617.5"/>
    <n v="5557.5"/>
  </r>
  <r>
    <s v="O0087"/>
    <x v="86"/>
    <x v="0"/>
    <x v="4"/>
    <s v="Accessories"/>
    <x v="0"/>
    <n v="8"/>
    <n v="60"/>
    <n v="480"/>
  </r>
  <r>
    <s v="O0088"/>
    <x v="87"/>
    <x v="1"/>
    <x v="5"/>
    <s v="Technology"/>
    <x v="1"/>
    <n v="4"/>
    <n v="1140"/>
    <n v="4560"/>
  </r>
  <r>
    <s v="O0089"/>
    <x v="88"/>
    <x v="3"/>
    <x v="1"/>
    <s v="Accessories"/>
    <x v="3"/>
    <n v="3"/>
    <n v="100"/>
    <n v="300"/>
  </r>
  <r>
    <s v="O0090"/>
    <x v="89"/>
    <x v="0"/>
    <x v="2"/>
    <s v="Accessories"/>
    <x v="0"/>
    <n v="3"/>
    <n v="115.5"/>
    <n v="346.5"/>
  </r>
  <r>
    <s v="O0091"/>
    <x v="90"/>
    <x v="1"/>
    <x v="3"/>
    <s v="Technology"/>
    <x v="1"/>
    <n v="1"/>
    <n v="650"/>
    <n v="650"/>
  </r>
  <r>
    <s v="O0092"/>
    <x v="91"/>
    <x v="2"/>
    <x v="4"/>
    <s v="Accessories"/>
    <x v="2"/>
    <n v="6"/>
    <n v="60"/>
    <n v="360"/>
  </r>
  <r>
    <s v="O0093"/>
    <x v="92"/>
    <x v="3"/>
    <x v="5"/>
    <s v="Technology"/>
    <x v="3"/>
    <n v="2"/>
    <n v="1200"/>
    <n v="2400"/>
  </r>
  <r>
    <s v="O0094"/>
    <x v="93"/>
    <x v="0"/>
    <x v="6"/>
    <s v="Office Equipment"/>
    <x v="0"/>
    <n v="10"/>
    <n v="450"/>
    <n v="4500"/>
  </r>
  <r>
    <s v="O0095"/>
    <x v="94"/>
    <x v="1"/>
    <x v="7"/>
    <s v="Accessories"/>
    <x v="1"/>
    <n v="6"/>
    <n v="147"/>
    <n v="882"/>
  </r>
  <r>
    <s v="O0096"/>
    <x v="95"/>
    <x v="2"/>
    <x v="0"/>
    <s v="Technology"/>
    <x v="2"/>
    <n v="11"/>
    <n v="300"/>
    <n v="3300"/>
  </r>
  <r>
    <s v="O0097"/>
    <x v="96"/>
    <x v="1"/>
    <x v="6"/>
    <s v="Office Equipment"/>
    <x v="4"/>
    <n v="10"/>
    <n v="450"/>
    <n v="4500"/>
  </r>
  <r>
    <s v="O0098"/>
    <x v="97"/>
    <x v="2"/>
    <x v="7"/>
    <s v="Accessories"/>
    <x v="5"/>
    <n v="6"/>
    <n v="140"/>
    <n v="840"/>
  </r>
  <r>
    <s v="O0099"/>
    <x v="98"/>
    <x v="3"/>
    <x v="0"/>
    <s v="Technology"/>
    <x v="6"/>
    <n v="8"/>
    <n v="285"/>
    <n v="2280"/>
  </r>
  <r>
    <s v="O0100"/>
    <x v="99"/>
    <x v="0"/>
    <x v="1"/>
    <s v="Accessories"/>
    <x v="7"/>
    <n v="1"/>
    <n v="100"/>
    <n v="100"/>
  </r>
  <r>
    <s v="O0101"/>
    <x v="100"/>
    <x v="1"/>
    <x v="2"/>
    <s v="Accessories"/>
    <x v="4"/>
    <n v="6"/>
    <n v="104.5"/>
    <n v="627"/>
  </r>
  <r>
    <s v="O0102"/>
    <x v="101"/>
    <x v="2"/>
    <x v="3"/>
    <s v="Technology"/>
    <x v="5"/>
    <n v="5"/>
    <n v="650"/>
    <n v="3250"/>
  </r>
  <r>
    <s v="O0103"/>
    <x v="102"/>
    <x v="3"/>
    <x v="4"/>
    <s v="Accessories"/>
    <x v="6"/>
    <n v="3"/>
    <n v="63"/>
    <n v="189"/>
  </r>
  <r>
    <s v="O0104"/>
    <x v="103"/>
    <x v="0"/>
    <x v="5"/>
    <s v="Technology"/>
    <x v="7"/>
    <n v="7"/>
    <n v="1200"/>
    <n v="8400"/>
  </r>
  <r>
    <s v="O0105"/>
    <x v="104"/>
    <x v="2"/>
    <x v="1"/>
    <s v="Accessories"/>
    <x v="5"/>
    <n v="6"/>
    <n v="105"/>
    <n v="630"/>
  </r>
  <r>
    <s v="O0106"/>
    <x v="105"/>
    <x v="3"/>
    <x v="2"/>
    <s v="Accessories"/>
    <x v="6"/>
    <n v="10"/>
    <n v="104.5"/>
    <n v="1045"/>
  </r>
  <r>
    <s v="O0107"/>
    <x v="106"/>
    <x v="0"/>
    <x v="3"/>
    <s v="Technology"/>
    <x v="7"/>
    <n v="5"/>
    <n v="617.5"/>
    <n v="3087.5"/>
  </r>
  <r>
    <s v="O0108"/>
    <x v="107"/>
    <x v="1"/>
    <x v="4"/>
    <s v="Accessories"/>
    <x v="4"/>
    <n v="5"/>
    <n v="60"/>
    <n v="300"/>
  </r>
  <r>
    <s v="O0109"/>
    <x v="108"/>
    <x v="2"/>
    <x v="5"/>
    <s v="Technology"/>
    <x v="5"/>
    <n v="3"/>
    <n v="1200"/>
    <n v="3600"/>
  </r>
  <r>
    <s v="O0110"/>
    <x v="109"/>
    <x v="3"/>
    <x v="6"/>
    <s v="Office Equipment"/>
    <x v="6"/>
    <n v="8"/>
    <n v="450"/>
    <n v="3600"/>
  </r>
  <r>
    <s v="O0111"/>
    <x v="110"/>
    <x v="0"/>
    <x v="7"/>
    <s v="Accessories"/>
    <x v="7"/>
    <n v="1"/>
    <n v="140"/>
    <n v="140"/>
  </r>
  <r>
    <s v="O0112"/>
    <x v="111"/>
    <x v="1"/>
    <x v="0"/>
    <s v="Technology"/>
    <x v="4"/>
    <n v="7"/>
    <n v="315"/>
    <n v="2205"/>
  </r>
  <r>
    <s v="O0113"/>
    <x v="112"/>
    <x v="3"/>
    <x v="4"/>
    <s v="Accessories"/>
    <x v="6"/>
    <n v="4"/>
    <n v="60"/>
    <n v="240"/>
  </r>
  <r>
    <s v="O0114"/>
    <x v="113"/>
    <x v="0"/>
    <x v="5"/>
    <s v="Technology"/>
    <x v="7"/>
    <n v="1"/>
    <n v="1200"/>
    <n v="1200"/>
  </r>
  <r>
    <s v="O0115"/>
    <x v="114"/>
    <x v="1"/>
    <x v="6"/>
    <s v="Office Equipment"/>
    <x v="4"/>
    <n v="1"/>
    <n v="450"/>
    <n v="450"/>
  </r>
  <r>
    <s v="O0116"/>
    <x v="115"/>
    <x v="2"/>
    <x v="7"/>
    <s v="Accessories"/>
    <x v="5"/>
    <n v="7"/>
    <n v="133"/>
    <n v="931"/>
  </r>
  <r>
    <s v="O0117"/>
    <x v="116"/>
    <x v="3"/>
    <x v="0"/>
    <s v="Technology"/>
    <x v="6"/>
    <n v="3"/>
    <n v="300"/>
    <n v="900"/>
  </r>
  <r>
    <s v="O0118"/>
    <x v="117"/>
    <x v="0"/>
    <x v="1"/>
    <s v="Accessories"/>
    <x v="7"/>
    <n v="2"/>
    <n v="95"/>
    <n v="190"/>
  </r>
  <r>
    <s v="O0119"/>
    <x v="118"/>
    <x v="1"/>
    <x v="2"/>
    <s v="Accessories"/>
    <x v="4"/>
    <n v="3"/>
    <n v="115.5"/>
    <n v="346.5"/>
  </r>
  <r>
    <s v="O0120"/>
    <x v="119"/>
    <x v="2"/>
    <x v="3"/>
    <s v="Technology"/>
    <x v="5"/>
    <n v="7"/>
    <n v="650"/>
    <n v="4550"/>
  </r>
  <r>
    <s v="O0121"/>
    <x v="120"/>
    <x v="0"/>
    <x v="7"/>
    <s v="Accessories"/>
    <x v="7"/>
    <n v="4"/>
    <n v="140"/>
    <n v="560"/>
  </r>
  <r>
    <s v="O0122"/>
    <x v="121"/>
    <x v="1"/>
    <x v="0"/>
    <s v="Technology"/>
    <x v="4"/>
    <n v="2"/>
    <n v="285"/>
    <n v="570"/>
  </r>
  <r>
    <s v="O0123"/>
    <x v="122"/>
    <x v="2"/>
    <x v="1"/>
    <s v="Accessories"/>
    <x v="5"/>
    <n v="3"/>
    <n v="95"/>
    <n v="285"/>
  </r>
  <r>
    <s v="O0124"/>
    <x v="123"/>
    <x v="3"/>
    <x v="2"/>
    <s v="Accessories"/>
    <x v="6"/>
    <n v="11"/>
    <n v="110"/>
    <n v="1210"/>
  </r>
  <r>
    <s v="O0125"/>
    <x v="124"/>
    <x v="0"/>
    <x v="3"/>
    <s v="Technology"/>
    <x v="7"/>
    <n v="4"/>
    <n v="617.5"/>
    <n v="2470"/>
  </r>
  <r>
    <s v="O0126"/>
    <x v="125"/>
    <x v="1"/>
    <x v="4"/>
    <s v="Accessories"/>
    <x v="4"/>
    <n v="8"/>
    <n v="60"/>
    <n v="480"/>
  </r>
  <r>
    <s v="O0127"/>
    <x v="126"/>
    <x v="2"/>
    <x v="5"/>
    <s v="Technology"/>
    <x v="5"/>
    <n v="10"/>
    <n v="1200"/>
    <n v="12000"/>
  </r>
  <r>
    <s v="O0128"/>
    <x v="127"/>
    <x v="3"/>
    <x v="6"/>
    <s v="Office Equipment"/>
    <x v="6"/>
    <n v="5"/>
    <n v="450"/>
    <n v="2250"/>
  </r>
  <r>
    <s v="O0129"/>
    <x v="128"/>
    <x v="1"/>
    <x v="2"/>
    <s v="Accessories"/>
    <x v="4"/>
    <n v="12"/>
    <n v="115.5"/>
    <n v="1386"/>
  </r>
  <r>
    <s v="O0130"/>
    <x v="129"/>
    <x v="2"/>
    <x v="3"/>
    <s v="Technology"/>
    <x v="5"/>
    <n v="7"/>
    <n v="650"/>
    <n v="4550"/>
  </r>
  <r>
    <s v="O0131"/>
    <x v="130"/>
    <x v="3"/>
    <x v="4"/>
    <s v="Accessories"/>
    <x v="6"/>
    <n v="8"/>
    <n v="60"/>
    <n v="480"/>
  </r>
  <r>
    <s v="O0132"/>
    <x v="131"/>
    <x v="0"/>
    <x v="5"/>
    <s v="Technology"/>
    <x v="7"/>
    <n v="11"/>
    <n v="1200"/>
    <n v="13200"/>
  </r>
  <r>
    <s v="O0133"/>
    <x v="132"/>
    <x v="1"/>
    <x v="6"/>
    <s v="Office Equipment"/>
    <x v="4"/>
    <n v="7"/>
    <n v="427.5"/>
    <n v="2992.5"/>
  </r>
  <r>
    <s v="O0134"/>
    <x v="133"/>
    <x v="2"/>
    <x v="7"/>
    <s v="Accessories"/>
    <x v="5"/>
    <n v="1"/>
    <n v="140"/>
    <n v="140"/>
  </r>
  <r>
    <s v="O0135"/>
    <x v="134"/>
    <x v="3"/>
    <x v="0"/>
    <s v="Technology"/>
    <x v="6"/>
    <n v="2"/>
    <n v="300"/>
    <n v="600"/>
  </r>
  <r>
    <s v="O0136"/>
    <x v="135"/>
    <x v="0"/>
    <x v="1"/>
    <s v="Accessories"/>
    <x v="7"/>
    <n v="1"/>
    <n v="95"/>
    <n v="95"/>
  </r>
  <r>
    <s v="O0137"/>
    <x v="136"/>
    <x v="2"/>
    <x v="5"/>
    <s v="Technology"/>
    <x v="5"/>
    <n v="6"/>
    <n v="1200"/>
    <n v="7200"/>
  </r>
  <r>
    <s v="O0138"/>
    <x v="137"/>
    <x v="3"/>
    <x v="6"/>
    <s v="Office Equipment"/>
    <x v="6"/>
    <n v="11"/>
    <n v="450"/>
    <n v="4950"/>
  </r>
  <r>
    <s v="O0139"/>
    <x v="138"/>
    <x v="0"/>
    <x v="7"/>
    <s v="Accessories"/>
    <x v="7"/>
    <n v="6"/>
    <n v="140"/>
    <n v="840"/>
  </r>
  <r>
    <s v="O0140"/>
    <x v="139"/>
    <x v="1"/>
    <x v="0"/>
    <s v="Technology"/>
    <x v="4"/>
    <n v="7"/>
    <n v="300"/>
    <n v="2100"/>
  </r>
  <r>
    <s v="O0141"/>
    <x v="140"/>
    <x v="2"/>
    <x v="1"/>
    <s v="Accessories"/>
    <x v="5"/>
    <n v="2"/>
    <n v="100"/>
    <n v="200"/>
  </r>
  <r>
    <s v="O0142"/>
    <x v="141"/>
    <x v="3"/>
    <x v="2"/>
    <s v="Accessories"/>
    <x v="6"/>
    <n v="8"/>
    <n v="110"/>
    <n v="880"/>
  </r>
  <r>
    <s v="O0143"/>
    <x v="142"/>
    <x v="0"/>
    <x v="3"/>
    <s v="Technology"/>
    <x v="7"/>
    <n v="11"/>
    <n v="650"/>
    <n v="7150"/>
  </r>
  <r>
    <s v="O0144"/>
    <x v="143"/>
    <x v="1"/>
    <x v="4"/>
    <s v="Accessories"/>
    <x v="4"/>
    <n v="1"/>
    <n v="60"/>
    <n v="60"/>
  </r>
  <r>
    <s v="O0145"/>
    <x v="144"/>
    <x v="3"/>
    <x v="0"/>
    <s v="Technology"/>
    <x v="6"/>
    <n v="2"/>
    <n v="300"/>
    <n v="600"/>
  </r>
  <r>
    <s v="O0146"/>
    <x v="145"/>
    <x v="0"/>
    <x v="1"/>
    <s v="Accessories"/>
    <x v="7"/>
    <n v="2"/>
    <n v="100"/>
    <n v="200"/>
  </r>
  <r>
    <s v="O0147"/>
    <x v="146"/>
    <x v="1"/>
    <x v="2"/>
    <s v="Accessories"/>
    <x v="4"/>
    <n v="10"/>
    <n v="115.5"/>
    <n v="1155"/>
  </r>
  <r>
    <s v="O0148"/>
    <x v="147"/>
    <x v="2"/>
    <x v="3"/>
    <s v="Technology"/>
    <x v="5"/>
    <n v="12"/>
    <n v="650"/>
    <n v="7800"/>
  </r>
  <r>
    <s v="O0149"/>
    <x v="148"/>
    <x v="3"/>
    <x v="4"/>
    <s v="Accessories"/>
    <x v="6"/>
    <n v="6"/>
    <n v="60"/>
    <n v="360"/>
  </r>
  <r>
    <s v="O0150"/>
    <x v="149"/>
    <x v="0"/>
    <x v="5"/>
    <s v="Technology"/>
    <x v="7"/>
    <n v="3"/>
    <n v="1260"/>
    <n v="3780"/>
  </r>
  <r>
    <s v="O0151"/>
    <x v="150"/>
    <x v="1"/>
    <x v="6"/>
    <s v="Office Equipment"/>
    <x v="4"/>
    <n v="5"/>
    <n v="472.5"/>
    <n v="2362.5"/>
  </r>
  <r>
    <s v="O0152"/>
    <x v="151"/>
    <x v="2"/>
    <x v="7"/>
    <s v="Accessories"/>
    <x v="5"/>
    <n v="6"/>
    <n v="140"/>
    <n v="840"/>
  </r>
  <r>
    <s v="O0153"/>
    <x v="152"/>
    <x v="0"/>
    <x v="3"/>
    <s v="Technology"/>
    <x v="7"/>
    <n v="5"/>
    <n v="617.5"/>
    <n v="3087.5"/>
  </r>
  <r>
    <s v="O0154"/>
    <x v="153"/>
    <x v="1"/>
    <x v="4"/>
    <s v="Accessories"/>
    <x v="4"/>
    <n v="11"/>
    <n v="60"/>
    <n v="660"/>
  </r>
  <r>
    <s v="O0155"/>
    <x v="154"/>
    <x v="2"/>
    <x v="5"/>
    <s v="Technology"/>
    <x v="5"/>
    <n v="3"/>
    <n v="1200"/>
    <n v="3600"/>
  </r>
  <r>
    <s v="O0156"/>
    <x v="155"/>
    <x v="3"/>
    <x v="6"/>
    <s v="Office Equipment"/>
    <x v="6"/>
    <n v="9"/>
    <n v="427.5"/>
    <n v="3847.5"/>
  </r>
  <r>
    <s v="O0157"/>
    <x v="156"/>
    <x v="0"/>
    <x v="7"/>
    <s v="Accessories"/>
    <x v="7"/>
    <n v="5"/>
    <n v="133"/>
    <n v="665"/>
  </r>
  <r>
    <s v="O0158"/>
    <x v="157"/>
    <x v="1"/>
    <x v="0"/>
    <s v="Technology"/>
    <x v="4"/>
    <n v="1"/>
    <n v="315"/>
    <n v="315"/>
  </r>
  <r>
    <s v="O0159"/>
    <x v="158"/>
    <x v="2"/>
    <x v="1"/>
    <s v="Accessories"/>
    <x v="5"/>
    <n v="2"/>
    <n v="100"/>
    <n v="200"/>
  </r>
  <r>
    <s v="O0160"/>
    <x v="159"/>
    <x v="3"/>
    <x v="2"/>
    <s v="Accessories"/>
    <x v="6"/>
    <n v="10"/>
    <n v="110"/>
    <n v="1100"/>
  </r>
  <r>
    <s v="O0161"/>
    <x v="160"/>
    <x v="1"/>
    <x v="6"/>
    <s v="Office Equipment"/>
    <x v="4"/>
    <n v="6"/>
    <n v="450"/>
    <n v="2700"/>
  </r>
  <r>
    <s v="O0162"/>
    <x v="161"/>
    <x v="2"/>
    <x v="7"/>
    <s v="Accessories"/>
    <x v="5"/>
    <n v="3"/>
    <n v="133"/>
    <n v="399"/>
  </r>
  <r>
    <s v="O0163"/>
    <x v="162"/>
    <x v="3"/>
    <x v="0"/>
    <s v="Technology"/>
    <x v="6"/>
    <n v="12"/>
    <n v="300"/>
    <n v="3600"/>
  </r>
  <r>
    <s v="O0164"/>
    <x v="163"/>
    <x v="0"/>
    <x v="1"/>
    <s v="Accessories"/>
    <x v="7"/>
    <n v="2"/>
    <n v="105"/>
    <n v="210"/>
  </r>
  <r>
    <s v="O0165"/>
    <x v="164"/>
    <x v="1"/>
    <x v="2"/>
    <s v="Accessories"/>
    <x v="4"/>
    <n v="4"/>
    <n v="110"/>
    <n v="440"/>
  </r>
  <r>
    <s v="O0166"/>
    <x v="165"/>
    <x v="2"/>
    <x v="3"/>
    <s v="Technology"/>
    <x v="5"/>
    <n v="8"/>
    <n v="650"/>
    <n v="5200"/>
  </r>
  <r>
    <s v="O0167"/>
    <x v="166"/>
    <x v="3"/>
    <x v="4"/>
    <s v="Accessories"/>
    <x v="6"/>
    <n v="1"/>
    <n v="63"/>
    <n v="63"/>
  </r>
  <r>
    <s v="O0168"/>
    <x v="167"/>
    <x v="0"/>
    <x v="5"/>
    <s v="Technology"/>
    <x v="7"/>
    <n v="7"/>
    <n v="1200"/>
    <n v="8400"/>
  </r>
  <r>
    <s v="O0169"/>
    <x v="168"/>
    <x v="2"/>
    <x v="1"/>
    <s v="Accessories"/>
    <x v="5"/>
    <n v="2"/>
    <n v="105"/>
    <n v="210"/>
  </r>
  <r>
    <s v="O0170"/>
    <x v="169"/>
    <x v="3"/>
    <x v="2"/>
    <s v="Accessories"/>
    <x v="6"/>
    <n v="6"/>
    <n v="104.5"/>
    <n v="627"/>
  </r>
  <r>
    <s v="O0171"/>
    <x v="170"/>
    <x v="0"/>
    <x v="3"/>
    <s v="Technology"/>
    <x v="7"/>
    <n v="12"/>
    <n v="617.5"/>
    <n v="7410"/>
  </r>
  <r>
    <s v="O0172"/>
    <x v="171"/>
    <x v="1"/>
    <x v="4"/>
    <s v="Accessories"/>
    <x v="4"/>
    <n v="5"/>
    <n v="60"/>
    <n v="300"/>
  </r>
  <r>
    <s v="O0173"/>
    <x v="172"/>
    <x v="2"/>
    <x v="5"/>
    <s v="Technology"/>
    <x v="5"/>
    <n v="1"/>
    <n v="1200"/>
    <n v="1200"/>
  </r>
  <r>
    <s v="O0174"/>
    <x v="173"/>
    <x v="3"/>
    <x v="6"/>
    <s v="Office Equipment"/>
    <x v="6"/>
    <n v="10"/>
    <n v="450"/>
    <n v="4500"/>
  </r>
  <r>
    <s v="O0175"/>
    <x v="174"/>
    <x v="0"/>
    <x v="7"/>
    <s v="Accessories"/>
    <x v="7"/>
    <n v="10"/>
    <n v="140"/>
    <n v="1400"/>
  </r>
  <r>
    <s v="O0176"/>
    <x v="175"/>
    <x v="1"/>
    <x v="0"/>
    <s v="Technology"/>
    <x v="4"/>
    <n v="6"/>
    <n v="300"/>
    <n v="1800"/>
  </r>
  <r>
    <s v="O0177"/>
    <x v="176"/>
    <x v="3"/>
    <x v="4"/>
    <s v="Accessories"/>
    <x v="6"/>
    <n v="2"/>
    <n v="60"/>
    <n v="120"/>
  </r>
  <r>
    <s v="O0178"/>
    <x v="177"/>
    <x v="0"/>
    <x v="5"/>
    <s v="Technology"/>
    <x v="7"/>
    <n v="2"/>
    <n v="1200"/>
    <n v="2400"/>
  </r>
  <r>
    <s v="O0179"/>
    <x v="178"/>
    <x v="1"/>
    <x v="6"/>
    <s v="Office Equipment"/>
    <x v="4"/>
    <n v="7"/>
    <n v="427.5"/>
    <n v="2992.5"/>
  </r>
  <r>
    <s v="O0180"/>
    <x v="179"/>
    <x v="2"/>
    <x v="7"/>
    <s v="Accessories"/>
    <x v="5"/>
    <n v="12"/>
    <n v="140"/>
    <n v="1680"/>
  </r>
  <r>
    <s v="O0181"/>
    <x v="180"/>
    <x v="3"/>
    <x v="0"/>
    <s v="Technology"/>
    <x v="6"/>
    <n v="5"/>
    <n v="300"/>
    <n v="1500"/>
  </r>
  <r>
    <s v="O0182"/>
    <x v="181"/>
    <x v="0"/>
    <x v="1"/>
    <s v="Accessories"/>
    <x v="7"/>
    <n v="7"/>
    <n v="100"/>
    <n v="700"/>
  </r>
  <r>
    <s v="O0183"/>
    <x v="182"/>
    <x v="1"/>
    <x v="2"/>
    <s v="Accessories"/>
    <x v="4"/>
    <n v="7"/>
    <n v="110"/>
    <n v="770"/>
  </r>
  <r>
    <s v="O0184"/>
    <x v="183"/>
    <x v="2"/>
    <x v="3"/>
    <s v="Technology"/>
    <x v="5"/>
    <n v="7"/>
    <n v="682.5"/>
    <n v="4777.5"/>
  </r>
  <r>
    <s v="O0185"/>
    <x v="184"/>
    <x v="0"/>
    <x v="7"/>
    <s v="Accessories"/>
    <x v="7"/>
    <n v="6"/>
    <n v="140"/>
    <n v="840"/>
  </r>
  <r>
    <s v="O0186"/>
    <x v="185"/>
    <x v="1"/>
    <x v="0"/>
    <s v="Technology"/>
    <x v="4"/>
    <n v="8"/>
    <n v="285"/>
    <n v="2280"/>
  </r>
  <r>
    <s v="O0187"/>
    <x v="186"/>
    <x v="2"/>
    <x v="1"/>
    <s v="Accessories"/>
    <x v="5"/>
    <n v="11"/>
    <n v="100"/>
    <n v="1100"/>
  </r>
  <r>
    <s v="O0188"/>
    <x v="187"/>
    <x v="3"/>
    <x v="2"/>
    <s v="Accessories"/>
    <x v="6"/>
    <n v="7"/>
    <n v="110"/>
    <n v="770"/>
  </r>
  <r>
    <s v="O0189"/>
    <x v="188"/>
    <x v="0"/>
    <x v="3"/>
    <s v="Technology"/>
    <x v="7"/>
    <n v="5"/>
    <n v="650"/>
    <n v="3250"/>
  </r>
  <r>
    <s v="O0190"/>
    <x v="189"/>
    <x v="1"/>
    <x v="4"/>
    <s v="Accessories"/>
    <x v="4"/>
    <n v="5"/>
    <n v="60"/>
    <n v="300"/>
  </r>
  <r>
    <s v="O0191"/>
    <x v="190"/>
    <x v="2"/>
    <x v="5"/>
    <s v="Technology"/>
    <x v="5"/>
    <n v="11"/>
    <n v="1200"/>
    <n v="13200"/>
  </r>
  <r>
    <s v="O0192"/>
    <x v="191"/>
    <x v="3"/>
    <x v="6"/>
    <s v="Office Equipment"/>
    <x v="6"/>
    <n v="5"/>
    <n v="450"/>
    <n v="2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B04474-3C2F-4DFF-96B8-9A73832146FD}" name="PivotTable9"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17" firstHeaderRow="1" firstDataRow="2" firstDataCol="1"/>
  <pivotFields count="10">
    <pivotField showAll="0"/>
    <pivotField axis="axisRow"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9">
        <item x="7"/>
        <item x="1"/>
        <item x="5"/>
        <item x="0"/>
        <item x="4"/>
        <item x="6"/>
        <item x="3"/>
        <item x="2"/>
        <item t="default"/>
      </items>
    </pivotField>
    <pivotField showAll="0"/>
    <pivotField showAll="0"/>
    <pivotField numFmtId="1" showAll="0"/>
    <pivotField numFmtId="164" showAll="0"/>
    <pivotField dataField="1" numFmtId="164" showAll="0"/>
    <pivotField axis="axisCol" showAll="0">
      <items count="5">
        <item x="0"/>
        <item x="1"/>
        <item x="2"/>
        <item x="3"/>
        <item t="default"/>
      </items>
    </pivotField>
  </pivotFields>
  <rowFields count="1">
    <field x="1"/>
  </rowFields>
  <rowItems count="13">
    <i>
      <x v="1"/>
    </i>
    <i>
      <x v="2"/>
    </i>
    <i>
      <x v="3"/>
    </i>
    <i>
      <x v="4"/>
    </i>
    <i>
      <x v="5"/>
    </i>
    <i>
      <x v="6"/>
    </i>
    <i>
      <x v="7"/>
    </i>
    <i>
      <x v="8"/>
    </i>
    <i>
      <x v="9"/>
    </i>
    <i>
      <x v="10"/>
    </i>
    <i>
      <x v="11"/>
    </i>
    <i>
      <x v="12"/>
    </i>
    <i t="grand">
      <x/>
    </i>
  </rowItems>
  <colFields count="1">
    <field x="9"/>
  </colFields>
  <colItems count="3">
    <i>
      <x v="1"/>
    </i>
    <i>
      <x v="2"/>
    </i>
    <i t="grand">
      <x/>
    </i>
  </colItems>
  <dataFields count="1">
    <dataField name="Sum of Revenue" fld="8" baseField="0" baseItem="0"/>
  </dataFields>
  <chartFormats count="3">
    <chartFormat chart="5" format="8" series="1">
      <pivotArea type="data" outline="0" fieldPosition="0">
        <references count="2">
          <reference field="4294967294" count="1" selected="0">
            <x v="0"/>
          </reference>
          <reference field="9" count="1" selected="0">
            <x v="1"/>
          </reference>
        </references>
      </pivotArea>
    </chartFormat>
    <chartFormat chart="5" format="9" series="1">
      <pivotArea type="data" outline="0" fieldPosition="0">
        <references count="2">
          <reference field="4294967294" count="1" selected="0">
            <x v="0"/>
          </reference>
          <reference field="9" count="1" selected="0">
            <x v="2"/>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211BA-2672-4F1A-AE5C-CE1B64CB4091}"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9">
        <item x="7"/>
        <item x="1"/>
        <item x="5"/>
        <item x="0"/>
        <item x="4"/>
        <item x="6"/>
        <item x="3"/>
        <item x="2"/>
        <item t="default"/>
      </items>
    </pivotField>
    <pivotField showAll="0"/>
    <pivotField showAll="0"/>
    <pivotField numFmtId="1" showAll="0"/>
    <pivotField numFmtId="164" showAll="0"/>
    <pivotField dataField="1" numFmtId="164" showAll="0"/>
    <pivotField showAll="0">
      <items count="5">
        <item x="0"/>
        <item x="1"/>
        <item x="2"/>
        <item x="3"/>
        <item t="default"/>
      </items>
    </pivotField>
  </pivotFields>
  <rowItems count="1">
    <i/>
  </rowItems>
  <colItems count="1">
    <i/>
  </colItems>
  <dataFields count="1">
    <dataField name="Sum of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0185D5-9C81-444C-BFB3-A3BCB7863F9F}"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9">
        <item x="7"/>
        <item x="1"/>
        <item x="5"/>
        <item x="0"/>
        <item x="4"/>
        <item x="6"/>
        <item x="3"/>
        <item x="2"/>
        <item t="default"/>
      </items>
    </pivotField>
    <pivotField showAll="0"/>
    <pivotField showAll="0"/>
    <pivotField dataField="1" numFmtId="1" showAll="0"/>
    <pivotField numFmtId="164" showAll="0"/>
    <pivotField numFmtId="164" showAll="0"/>
    <pivotField showAll="0">
      <items count="5">
        <item x="0"/>
        <item x="1"/>
        <item x="2"/>
        <item x="3"/>
        <item t="default"/>
      </items>
    </pivotField>
  </pivotFields>
  <rowItems count="1">
    <i/>
  </rowItems>
  <colItems count="1">
    <i/>
  </colItems>
  <dataFields count="1">
    <dataField name="Sum of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A090D4-3FEE-4E8F-868B-AEB3255943DB}"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9">
        <item x="7"/>
        <item x="1"/>
        <item x="5"/>
        <item x="0"/>
        <item x="4"/>
        <item x="6"/>
        <item x="3"/>
        <item x="2"/>
        <item t="default"/>
      </items>
    </pivotField>
    <pivotField showAll="0"/>
    <pivotField showAll="0"/>
    <pivotField numFmtId="1" showAll="0"/>
    <pivotField numFmtId="164" showAll="0"/>
    <pivotField dataField="1" numFmtId="164" showAll="0"/>
    <pivotField showAll="0">
      <items count="5">
        <item x="0"/>
        <item x="1"/>
        <item x="2"/>
        <item x="3"/>
        <item t="default"/>
      </items>
    </pivotField>
  </pivotFields>
  <rowFields count="1">
    <field x="2"/>
  </rowFields>
  <rowItems count="5">
    <i>
      <x v="2"/>
    </i>
    <i>
      <x v="1"/>
    </i>
    <i>
      <x/>
    </i>
    <i>
      <x v="3"/>
    </i>
    <i t="grand">
      <x/>
    </i>
  </rowItems>
  <colItems count="1">
    <i/>
  </colItems>
  <dataFields count="1">
    <dataField name="Sum of Revenue" fld="8" baseField="0" baseItem="0" numFmtId="165"/>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91F32-932C-4C23-972F-B238C23E0500}" name="PivotTable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B1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sortType="descending">
      <items count="9">
        <item x="7"/>
        <item x="1"/>
        <item x="5"/>
        <item x="0"/>
        <item x="4"/>
        <item x="6"/>
        <item x="3"/>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pivotField dataField="1" numFmtId="164" showAll="0"/>
    <pivotField showAll="0">
      <items count="5">
        <item x="0"/>
        <item x="1"/>
        <item x="2"/>
        <item x="3"/>
        <item t="default"/>
      </items>
    </pivotField>
  </pivotFields>
  <rowFields count="1">
    <field x="3"/>
  </rowFields>
  <rowItems count="9">
    <i>
      <x v="2"/>
    </i>
    <i>
      <x v="6"/>
    </i>
    <i>
      <x v="5"/>
    </i>
    <i>
      <x v="3"/>
    </i>
    <i>
      <x/>
    </i>
    <i>
      <x v="7"/>
    </i>
    <i>
      <x v="1"/>
    </i>
    <i>
      <x v="4"/>
    </i>
    <i t="grand">
      <x/>
    </i>
  </rowItems>
  <colItems count="1">
    <i/>
  </colItems>
  <dataFields count="1">
    <dataField name="Sum of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20977-D90C-4056-97B4-476E2905DC91}" name="PivotTable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0:F1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sortType="descending">
      <items count="9">
        <item x="7"/>
        <item x="1"/>
        <item x="5"/>
        <item x="0"/>
        <item x="4"/>
        <item x="6"/>
        <item x="3"/>
        <item x="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9">
        <item x="1"/>
        <item x="4"/>
        <item x="3"/>
        <item x="0"/>
        <item x="6"/>
        <item x="7"/>
        <item x="2"/>
        <item x="5"/>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showAll="0">
      <items count="5">
        <item x="0"/>
        <item x="1"/>
        <item x="2"/>
        <item x="3"/>
        <item t="default"/>
      </items>
    </pivotField>
  </pivotFields>
  <rowFields count="1">
    <field x="5"/>
  </rowFields>
  <rowItems count="9">
    <i>
      <x v="2"/>
    </i>
    <i>
      <x v="7"/>
    </i>
    <i>
      <x v="5"/>
    </i>
    <i>
      <x/>
    </i>
    <i>
      <x v="6"/>
    </i>
    <i>
      <x v="4"/>
    </i>
    <i>
      <x v="3"/>
    </i>
    <i>
      <x v="1"/>
    </i>
    <i t="grand">
      <x/>
    </i>
  </rowItems>
  <colItems count="1">
    <i/>
  </colItems>
  <dataFields count="1">
    <dataField name="Sum of Revenue" fld="8"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391B4A-A4BB-4329-8B93-463368E5C0FD}" sourceName="Region">
  <pivotTables>
    <pivotTable tabId="2" name="PivotTable4"/>
    <pivotTable tabId="2" name="PivotTable2"/>
    <pivotTable tabId="2" name="PivotTable3"/>
    <pivotTable tabId="2" name="PivotTable6"/>
    <pivotTable tabId="2" name="PivotTable7"/>
    <pivotTable tabId="8" name="PivotTable9"/>
  </pivotTables>
  <data>
    <tabular pivotCacheId="193939276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91FEBB-F022-4299-9460-52FB66855687}" sourceName="Product">
  <pivotTables>
    <pivotTable tabId="2" name="PivotTable6"/>
    <pivotTable tabId="2" name="PivotTable2"/>
    <pivotTable tabId="2" name="PivotTable3"/>
    <pivotTable tabId="2" name="PivotTable4"/>
    <pivotTable tabId="2" name="PivotTable7"/>
    <pivotTable tabId="8" name="PivotTable9"/>
  </pivotTables>
  <data>
    <tabular pivotCacheId="1939392767">
      <items count="8">
        <i x="7" s="1"/>
        <i x="1" s="1"/>
        <i x="5" s="1"/>
        <i x="0" s="1"/>
        <i x="4" s="1"/>
        <i x="6"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B22A009-3F5F-4612-BAC9-CFD545A2AC4B}" sourceName="Years">
  <pivotTables>
    <pivotTable tabId="8" name="PivotTable9"/>
    <pivotTable tabId="2" name="PivotTable2"/>
    <pivotTable tabId="2" name="PivotTable3"/>
    <pivotTable tabId="2" name="PivotTable4"/>
    <pivotTable tabId="2" name="PivotTable6"/>
    <pivotTable tabId="2" name="PivotTable7"/>
  </pivotTables>
  <data>
    <tabular pivotCacheId="1939392767">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50F8E67-D852-49BE-A1A6-F930510A7147}" cache="Slicer_Region" caption="Region" columnCount="2" rowHeight="234950"/>
  <slicer name="Product" xr10:uid="{85D19AC4-0868-40B7-8FBD-04858645970E}" cache="Slicer_Product" caption="Product" columnCount="2" rowHeight="234950"/>
  <slicer name="Years" xr10:uid="{AEAB10B9-EB58-4D4E-A1BB-0A56298047A6}" cache="Slicer_Years" caption="Year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E6C322-2EF6-4B7F-A07A-9E64CAA9C151}" name="Table2" displayName="Table2" ref="A1:I9" totalsRowShown="0">
  <autoFilter ref="A1:I9" xr:uid="{13E6C322-2EF6-4B7F-A07A-9E64CAA9C151}"/>
  <tableColumns count="9">
    <tableColumn id="1" xr3:uid="{B416658B-AD14-4194-BD9A-1E869BBB1100}" name="Order_ID"/>
    <tableColumn id="2" xr3:uid="{AE7766C3-88F5-48FB-842A-4CBD56AA1ABC}" name="Date" dataDxfId="0"/>
    <tableColumn id="3" xr3:uid="{736394ED-C34A-49BC-B807-7225E54AF96E}" name="Region"/>
    <tableColumn id="4" xr3:uid="{BFA41513-D963-4E22-BF06-BD02118FEB10}" name="Product"/>
    <tableColumn id="5" xr3:uid="{38EE5071-8566-48AD-A8F1-DC232584DAF3}" name="Category"/>
    <tableColumn id="6" xr3:uid="{400E5E81-0AE0-4254-BC89-A05ED54904C0}" name="Salesperson"/>
    <tableColumn id="7" xr3:uid="{A189FA2A-181C-434A-842F-B312714457BA}" name="Units"/>
    <tableColumn id="8" xr3:uid="{ED7A10F0-D8F1-4D10-9841-631EB4E2B023}" name="Unit_Price"/>
    <tableColumn id="9" xr3:uid="{DC9345F8-F11B-4BB8-806E-CD33603F4BCD}"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D58DDC-4428-4406-B320-4BFAA4ADA7D2}" name="Sales_Data" displayName="Sales_Data" ref="A1:I193" totalsRowShown="0" headerRowDxfId="1">
  <autoFilter ref="A1:I193" xr:uid="{D5D58DDC-4428-4406-B320-4BFAA4ADA7D2}"/>
  <tableColumns count="9">
    <tableColumn id="1" xr3:uid="{0701D3BA-50F4-4A08-942F-9B592C97D565}" name="Order_ID"/>
    <tableColumn id="2" xr3:uid="{1BFDED43-C426-4ABC-BF65-A3104C5769E9}" name="Date" dataDxfId="5"/>
    <tableColumn id="3" xr3:uid="{8CFBF024-6483-4D1E-AE4D-802B78667E10}" name="Region"/>
    <tableColumn id="4" xr3:uid="{1174E47E-2F09-4BD1-A306-6A32842388D3}" name="Product"/>
    <tableColumn id="5" xr3:uid="{AA5FF8E0-FFB1-4797-8F89-C9C92064DDA0}" name="Category"/>
    <tableColumn id="6" xr3:uid="{DD8E1813-B316-48DD-8AE7-84A26225AD0E}" name="Salesperson"/>
    <tableColumn id="7" xr3:uid="{69992500-49FC-49AC-BD9E-CE042A002A45}" name="Units" dataDxfId="4"/>
    <tableColumn id="8" xr3:uid="{CA5C5AF6-B047-4143-B766-F1817A711F67}" name="Unit_Price" dataDxfId="3"/>
    <tableColumn id="9" xr3:uid="{51609ED2-A3BF-4858-8ED0-108427762721}" name="Reven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8638-C43C-4C44-AD4A-ADA7867E472C}">
  <dimension ref="A1:I9"/>
  <sheetViews>
    <sheetView zoomScale="156" zoomScaleNormal="156" workbookViewId="0">
      <selection activeCell="J2" sqref="J2"/>
    </sheetView>
  </sheetViews>
  <sheetFormatPr defaultRowHeight="14.4"/>
  <cols>
    <col min="1" max="1" width="10.44140625" customWidth="1"/>
    <col min="2" max="2" width="11.88671875" customWidth="1"/>
    <col min="4" max="4" width="9.5546875" customWidth="1"/>
    <col min="5" max="5" width="10.44140625" customWidth="1"/>
    <col min="6" max="6" width="12.88671875" customWidth="1"/>
    <col min="8" max="8" width="11.5546875" customWidth="1"/>
    <col min="9" max="9" width="10.21875" customWidth="1"/>
  </cols>
  <sheetData>
    <row r="1" spans="1:9">
      <c r="A1" t="s">
        <v>0</v>
      </c>
      <c r="B1" t="s">
        <v>1</v>
      </c>
      <c r="C1" t="s">
        <v>2</v>
      </c>
      <c r="D1" t="s">
        <v>3</v>
      </c>
      <c r="E1" t="s">
        <v>4</v>
      </c>
      <c r="F1" t="s">
        <v>5</v>
      </c>
      <c r="G1" t="s">
        <v>6</v>
      </c>
      <c r="H1" t="s">
        <v>7</v>
      </c>
      <c r="I1" t="s">
        <v>8</v>
      </c>
    </row>
    <row r="2" spans="1:9">
      <c r="A2" t="s">
        <v>159</v>
      </c>
      <c r="B2" s="2">
        <v>46136</v>
      </c>
      <c r="C2" t="s">
        <v>24</v>
      </c>
      <c r="D2" t="s">
        <v>32</v>
      </c>
      <c r="E2" t="s">
        <v>33</v>
      </c>
      <c r="F2" t="s">
        <v>129</v>
      </c>
      <c r="G2">
        <v>5</v>
      </c>
      <c r="H2">
        <v>450</v>
      </c>
      <c r="I2">
        <v>2250</v>
      </c>
    </row>
    <row r="3" spans="1:9">
      <c r="A3" t="s">
        <v>158</v>
      </c>
      <c r="B3" s="2">
        <v>46133</v>
      </c>
      <c r="C3" t="s">
        <v>20</v>
      </c>
      <c r="D3" t="s">
        <v>30</v>
      </c>
      <c r="E3" t="s">
        <v>12</v>
      </c>
      <c r="F3" t="s">
        <v>127</v>
      </c>
      <c r="G3">
        <v>10</v>
      </c>
      <c r="H3">
        <v>1200</v>
      </c>
      <c r="I3">
        <v>12000</v>
      </c>
    </row>
    <row r="4" spans="1:9">
      <c r="A4" t="s">
        <v>157</v>
      </c>
      <c r="B4" s="2">
        <v>46130</v>
      </c>
      <c r="C4" t="s">
        <v>15</v>
      </c>
      <c r="D4" t="s">
        <v>28</v>
      </c>
      <c r="E4" t="s">
        <v>17</v>
      </c>
      <c r="F4" t="s">
        <v>125</v>
      </c>
      <c r="G4">
        <v>8</v>
      </c>
      <c r="H4">
        <v>60</v>
      </c>
      <c r="I4">
        <v>480</v>
      </c>
    </row>
    <row r="5" spans="1:9">
      <c r="A5" t="s">
        <v>156</v>
      </c>
      <c r="B5" s="2">
        <v>46127</v>
      </c>
      <c r="C5" t="s">
        <v>10</v>
      </c>
      <c r="D5" t="s">
        <v>25</v>
      </c>
      <c r="E5" t="s">
        <v>12</v>
      </c>
      <c r="F5" t="s">
        <v>131</v>
      </c>
      <c r="G5">
        <v>4</v>
      </c>
      <c r="H5">
        <v>617.5</v>
      </c>
      <c r="I5">
        <v>2470</v>
      </c>
    </row>
    <row r="6" spans="1:9">
      <c r="A6" t="s">
        <v>155</v>
      </c>
      <c r="B6" s="2">
        <v>46124</v>
      </c>
      <c r="C6" t="s">
        <v>24</v>
      </c>
      <c r="D6" t="s">
        <v>21</v>
      </c>
      <c r="E6" t="s">
        <v>17</v>
      </c>
      <c r="F6" t="s">
        <v>129</v>
      </c>
      <c r="G6">
        <v>11</v>
      </c>
      <c r="H6">
        <v>110</v>
      </c>
      <c r="I6">
        <v>1210</v>
      </c>
    </row>
    <row r="7" spans="1:9">
      <c r="A7" t="s">
        <v>154</v>
      </c>
      <c r="B7" s="2">
        <v>46121</v>
      </c>
      <c r="C7" t="s">
        <v>20</v>
      </c>
      <c r="D7" t="s">
        <v>16</v>
      </c>
      <c r="E7" t="s">
        <v>17</v>
      </c>
      <c r="F7" t="s">
        <v>127</v>
      </c>
      <c r="G7">
        <v>3</v>
      </c>
      <c r="H7">
        <v>95</v>
      </c>
      <c r="I7">
        <v>285</v>
      </c>
    </row>
    <row r="8" spans="1:9">
      <c r="A8" t="s">
        <v>153</v>
      </c>
      <c r="B8" s="2">
        <v>46118</v>
      </c>
      <c r="C8" t="s">
        <v>15</v>
      </c>
      <c r="D8" t="s">
        <v>11</v>
      </c>
      <c r="E8" t="s">
        <v>12</v>
      </c>
      <c r="F8" t="s">
        <v>125</v>
      </c>
      <c r="G8">
        <v>2</v>
      </c>
      <c r="H8">
        <v>285</v>
      </c>
      <c r="I8">
        <v>570</v>
      </c>
    </row>
    <row r="9" spans="1:9">
      <c r="A9" t="s">
        <v>152</v>
      </c>
      <c r="B9" s="2">
        <v>46115</v>
      </c>
      <c r="C9" t="s">
        <v>10</v>
      </c>
      <c r="D9" t="s">
        <v>35</v>
      </c>
      <c r="E9" t="s">
        <v>17</v>
      </c>
      <c r="F9" t="s">
        <v>131</v>
      </c>
      <c r="G9">
        <v>4</v>
      </c>
      <c r="H9">
        <v>140</v>
      </c>
      <c r="I9">
        <v>560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869D-A08B-4BA1-A653-2DD9F4E4C43F}">
  <dimension ref="A3:D17"/>
  <sheetViews>
    <sheetView topLeftCell="A4" zoomScale="156" zoomScaleNormal="156" workbookViewId="0">
      <selection activeCell="H12" sqref="H12"/>
    </sheetView>
  </sheetViews>
  <sheetFormatPr defaultRowHeight="14.4"/>
  <cols>
    <col min="1" max="1" width="15.109375" bestFit="1" customWidth="1"/>
    <col min="2" max="2" width="15.5546875" bestFit="1" customWidth="1"/>
    <col min="3" max="3" width="8.33203125" bestFit="1" customWidth="1"/>
    <col min="4" max="4" width="10.88671875" bestFit="1" customWidth="1"/>
  </cols>
  <sheetData>
    <row r="3" spans="1:4">
      <c r="A3" s="7" t="s">
        <v>224</v>
      </c>
      <c r="B3" s="7" t="s">
        <v>247</v>
      </c>
    </row>
    <row r="4" spans="1:4">
      <c r="A4" s="7" t="s">
        <v>226</v>
      </c>
      <c r="B4" t="s">
        <v>233</v>
      </c>
      <c r="C4" t="s">
        <v>246</v>
      </c>
      <c r="D4" t="s">
        <v>227</v>
      </c>
    </row>
    <row r="5" spans="1:4">
      <c r="A5" s="25" t="s">
        <v>234</v>
      </c>
      <c r="B5" s="5">
        <v>18845</v>
      </c>
      <c r="C5" s="5">
        <v>20186</v>
      </c>
      <c r="D5" s="5">
        <v>39031</v>
      </c>
    </row>
    <row r="6" spans="1:4">
      <c r="A6" s="25" t="s">
        <v>235</v>
      </c>
      <c r="B6" s="5">
        <v>24213</v>
      </c>
      <c r="C6" s="5">
        <v>14607.5</v>
      </c>
      <c r="D6" s="5">
        <v>38820.5</v>
      </c>
    </row>
    <row r="7" spans="1:4">
      <c r="A7" s="25" t="s">
        <v>236</v>
      </c>
      <c r="B7" s="5">
        <v>21348</v>
      </c>
      <c r="C7" s="5">
        <v>8807.5</v>
      </c>
      <c r="D7" s="5">
        <v>30155.5</v>
      </c>
    </row>
    <row r="8" spans="1:4">
      <c r="A8" s="25" t="s">
        <v>237</v>
      </c>
      <c r="B8" s="5">
        <v>22944</v>
      </c>
      <c r="C8" s="5">
        <v>19825</v>
      </c>
      <c r="D8" s="5">
        <v>42769</v>
      </c>
    </row>
    <row r="9" spans="1:4">
      <c r="A9" s="25" t="s">
        <v>238</v>
      </c>
      <c r="B9" s="5">
        <v>16970</v>
      </c>
      <c r="C9" s="5">
        <v>23443.5</v>
      </c>
      <c r="D9" s="5">
        <v>40413.5</v>
      </c>
    </row>
    <row r="10" spans="1:4">
      <c r="A10" s="25" t="s">
        <v>239</v>
      </c>
      <c r="B10" s="5">
        <v>9774</v>
      </c>
      <c r="C10" s="5">
        <v>23380</v>
      </c>
      <c r="D10" s="5">
        <v>33154</v>
      </c>
    </row>
    <row r="11" spans="1:4">
      <c r="A11" s="25" t="s">
        <v>240</v>
      </c>
      <c r="B11" s="5">
        <v>28960</v>
      </c>
      <c r="C11" s="5">
        <v>17097.5</v>
      </c>
      <c r="D11" s="5">
        <v>46057.5</v>
      </c>
    </row>
    <row r="12" spans="1:4">
      <c r="A12" s="25" t="s">
        <v>241</v>
      </c>
      <c r="B12" s="5">
        <v>14260.5</v>
      </c>
      <c r="C12" s="5">
        <v>13475</v>
      </c>
      <c r="D12" s="5">
        <v>27735.5</v>
      </c>
    </row>
    <row r="13" spans="1:4">
      <c r="A13" s="25" t="s">
        <v>242</v>
      </c>
      <c r="B13" s="5">
        <v>16310</v>
      </c>
      <c r="C13" s="5">
        <v>21012</v>
      </c>
      <c r="D13" s="5">
        <v>37322</v>
      </c>
    </row>
    <row r="14" spans="1:4">
      <c r="A14" s="25" t="s">
        <v>243</v>
      </c>
      <c r="B14" s="5">
        <v>20666</v>
      </c>
      <c r="C14" s="5">
        <v>17447</v>
      </c>
      <c r="D14" s="5">
        <v>38113</v>
      </c>
    </row>
    <row r="15" spans="1:4">
      <c r="A15" s="25" t="s">
        <v>244</v>
      </c>
      <c r="B15" s="5">
        <v>15439</v>
      </c>
      <c r="C15" s="5">
        <v>14940</v>
      </c>
      <c r="D15" s="5">
        <v>30379</v>
      </c>
    </row>
    <row r="16" spans="1:4">
      <c r="A16" s="25" t="s">
        <v>245</v>
      </c>
      <c r="B16" s="5">
        <v>12738.5</v>
      </c>
      <c r="C16" s="5">
        <v>23990</v>
      </c>
      <c r="D16" s="5">
        <v>36728.5</v>
      </c>
    </row>
    <row r="17" spans="1:4">
      <c r="A17" s="25" t="s">
        <v>227</v>
      </c>
      <c r="B17" s="5">
        <v>222468</v>
      </c>
      <c r="C17" s="5">
        <v>218211</v>
      </c>
      <c r="D17" s="5">
        <v>440679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1EF5-2CB9-476E-9CD9-8A2C445CF227}">
  <sheetPr>
    <tabColor theme="7" tint="-0.249977111117893"/>
  </sheetPr>
  <dimension ref="A1:I193"/>
  <sheetViews>
    <sheetView topLeftCell="A2" zoomScale="190" zoomScaleNormal="190" workbookViewId="0">
      <selection activeCell="C5" sqref="C5"/>
    </sheetView>
  </sheetViews>
  <sheetFormatPr defaultRowHeight="14.4"/>
  <cols>
    <col min="1" max="1" width="10.109375" customWidth="1"/>
    <col min="2" max="2" width="10.88671875" customWidth="1"/>
    <col min="4" max="4" width="9.109375" customWidth="1"/>
    <col min="5" max="5" width="10.33203125" customWidth="1"/>
    <col min="6" max="6" width="13.44140625" customWidth="1"/>
    <col min="8" max="8" width="11.5546875" customWidth="1"/>
    <col min="9" max="9" width="10.109375" bestFit="1" customWidth="1"/>
  </cols>
  <sheetData>
    <row r="1" spans="1:9">
      <c r="A1" s="1" t="s">
        <v>0</v>
      </c>
      <c r="B1" s="1" t="s">
        <v>1</v>
      </c>
      <c r="C1" s="1" t="s">
        <v>2</v>
      </c>
      <c r="D1" s="1" t="s">
        <v>3</v>
      </c>
      <c r="E1" s="1" t="s">
        <v>4</v>
      </c>
      <c r="F1" s="1" t="s">
        <v>5</v>
      </c>
      <c r="G1" s="1" t="s">
        <v>6</v>
      </c>
      <c r="H1" s="1" t="s">
        <v>7</v>
      </c>
      <c r="I1" s="1" t="s">
        <v>8</v>
      </c>
    </row>
    <row r="2" spans="1:9">
      <c r="A2" t="s">
        <v>9</v>
      </c>
      <c r="B2" s="2">
        <v>45660</v>
      </c>
      <c r="C2" t="s">
        <v>10</v>
      </c>
      <c r="D2" t="s">
        <v>11</v>
      </c>
      <c r="E2" t="s">
        <v>12</v>
      </c>
      <c r="F2" t="s">
        <v>13</v>
      </c>
      <c r="G2" s="3">
        <v>3</v>
      </c>
      <c r="H2" s="4">
        <v>285</v>
      </c>
      <c r="I2" s="4">
        <v>855</v>
      </c>
    </row>
    <row r="3" spans="1:9">
      <c r="A3" t="s">
        <v>14</v>
      </c>
      <c r="B3" s="2">
        <v>45663</v>
      </c>
      <c r="C3" t="s">
        <v>15</v>
      </c>
      <c r="D3" t="s">
        <v>16</v>
      </c>
      <c r="E3" t="s">
        <v>17</v>
      </c>
      <c r="F3" t="s">
        <v>18</v>
      </c>
      <c r="G3" s="3">
        <v>5</v>
      </c>
      <c r="H3" s="4">
        <v>100</v>
      </c>
      <c r="I3" s="4">
        <v>500</v>
      </c>
    </row>
    <row r="4" spans="1:9">
      <c r="A4" t="s">
        <v>19</v>
      </c>
      <c r="B4" s="2">
        <v>45666</v>
      </c>
      <c r="C4" t="s">
        <v>20</v>
      </c>
      <c r="D4" t="s">
        <v>21</v>
      </c>
      <c r="E4" t="s">
        <v>17</v>
      </c>
      <c r="F4" t="s">
        <v>22</v>
      </c>
      <c r="G4" s="3">
        <v>6</v>
      </c>
      <c r="H4" s="4">
        <v>110</v>
      </c>
      <c r="I4" s="4">
        <v>660</v>
      </c>
    </row>
    <row r="5" spans="1:9">
      <c r="A5" t="s">
        <v>23</v>
      </c>
      <c r="B5" s="2">
        <v>45669</v>
      </c>
      <c r="C5" t="s">
        <v>24</v>
      </c>
      <c r="D5" t="s">
        <v>25</v>
      </c>
      <c r="E5" t="s">
        <v>12</v>
      </c>
      <c r="F5" t="s">
        <v>26</v>
      </c>
      <c r="G5" s="3">
        <v>9</v>
      </c>
      <c r="H5" s="4">
        <v>650</v>
      </c>
      <c r="I5" s="4">
        <v>5850</v>
      </c>
    </row>
    <row r="6" spans="1:9">
      <c r="A6" t="s">
        <v>27</v>
      </c>
      <c r="B6" s="2">
        <v>45672</v>
      </c>
      <c r="C6" t="s">
        <v>10</v>
      </c>
      <c r="D6" t="s">
        <v>28</v>
      </c>
      <c r="E6" t="s">
        <v>17</v>
      </c>
      <c r="F6" t="s">
        <v>13</v>
      </c>
      <c r="G6" s="3">
        <v>7</v>
      </c>
      <c r="H6" s="4">
        <v>60</v>
      </c>
      <c r="I6" s="4">
        <v>420</v>
      </c>
    </row>
    <row r="7" spans="1:9">
      <c r="A7" t="s">
        <v>29</v>
      </c>
      <c r="B7" s="2">
        <v>45675</v>
      </c>
      <c r="C7" t="s">
        <v>15</v>
      </c>
      <c r="D7" t="s">
        <v>30</v>
      </c>
      <c r="E7" t="s">
        <v>12</v>
      </c>
      <c r="F7" t="s">
        <v>18</v>
      </c>
      <c r="G7" s="3">
        <v>4</v>
      </c>
      <c r="H7" s="4">
        <v>1200</v>
      </c>
      <c r="I7" s="4">
        <v>4800</v>
      </c>
    </row>
    <row r="8" spans="1:9">
      <c r="A8" t="s">
        <v>31</v>
      </c>
      <c r="B8" s="2">
        <v>45678</v>
      </c>
      <c r="C8" t="s">
        <v>20</v>
      </c>
      <c r="D8" t="s">
        <v>32</v>
      </c>
      <c r="E8" t="s">
        <v>33</v>
      </c>
      <c r="F8" t="s">
        <v>22</v>
      </c>
      <c r="G8" s="3">
        <v>10</v>
      </c>
      <c r="H8" s="4">
        <v>450</v>
      </c>
      <c r="I8" s="4">
        <v>4500</v>
      </c>
    </row>
    <row r="9" spans="1:9">
      <c r="A9" t="s">
        <v>34</v>
      </c>
      <c r="B9" s="2">
        <v>45681</v>
      </c>
      <c r="C9" t="s">
        <v>24</v>
      </c>
      <c r="D9" t="s">
        <v>35</v>
      </c>
      <c r="E9" t="s">
        <v>17</v>
      </c>
      <c r="F9" t="s">
        <v>26</v>
      </c>
      <c r="G9" s="3">
        <v>9</v>
      </c>
      <c r="H9" s="4">
        <v>140</v>
      </c>
      <c r="I9" s="4">
        <v>1260</v>
      </c>
    </row>
    <row r="10" spans="1:9">
      <c r="A10" t="s">
        <v>36</v>
      </c>
      <c r="B10" s="2">
        <v>45691</v>
      </c>
      <c r="C10" t="s">
        <v>15</v>
      </c>
      <c r="D10" t="s">
        <v>25</v>
      </c>
      <c r="E10" t="s">
        <v>12</v>
      </c>
      <c r="F10" t="s">
        <v>18</v>
      </c>
      <c r="G10" s="3">
        <v>7</v>
      </c>
      <c r="H10" s="4">
        <v>650</v>
      </c>
      <c r="I10" s="4">
        <v>4550</v>
      </c>
    </row>
    <row r="11" spans="1:9">
      <c r="A11" t="s">
        <v>37</v>
      </c>
      <c r="B11" s="2">
        <v>45694</v>
      </c>
      <c r="C11" t="s">
        <v>20</v>
      </c>
      <c r="D11" t="s">
        <v>28</v>
      </c>
      <c r="E11" t="s">
        <v>17</v>
      </c>
      <c r="F11" t="s">
        <v>22</v>
      </c>
      <c r="G11" s="3">
        <v>5</v>
      </c>
      <c r="H11" s="4">
        <v>60</v>
      </c>
      <c r="I11" s="4">
        <v>300</v>
      </c>
    </row>
    <row r="12" spans="1:9">
      <c r="A12" t="s">
        <v>38</v>
      </c>
      <c r="B12" s="2">
        <v>45697</v>
      </c>
      <c r="C12" t="s">
        <v>24</v>
      </c>
      <c r="D12" t="s">
        <v>30</v>
      </c>
      <c r="E12" t="s">
        <v>12</v>
      </c>
      <c r="F12" t="s">
        <v>26</v>
      </c>
      <c r="G12" s="3">
        <v>10</v>
      </c>
      <c r="H12" s="4">
        <v>1200</v>
      </c>
      <c r="I12" s="4">
        <v>12000</v>
      </c>
    </row>
    <row r="13" spans="1:9">
      <c r="A13" t="s">
        <v>39</v>
      </c>
      <c r="B13" s="2">
        <v>45700</v>
      </c>
      <c r="C13" t="s">
        <v>10</v>
      </c>
      <c r="D13" t="s">
        <v>32</v>
      </c>
      <c r="E13" t="s">
        <v>33</v>
      </c>
      <c r="F13" t="s">
        <v>13</v>
      </c>
      <c r="G13" s="3">
        <v>4</v>
      </c>
      <c r="H13" s="4">
        <v>427.5</v>
      </c>
      <c r="I13" s="4">
        <v>1710</v>
      </c>
    </row>
    <row r="14" spans="1:9">
      <c r="A14" t="s">
        <v>40</v>
      </c>
      <c r="B14" s="2">
        <v>45703</v>
      </c>
      <c r="C14" t="s">
        <v>15</v>
      </c>
      <c r="D14" t="s">
        <v>35</v>
      </c>
      <c r="E14" t="s">
        <v>17</v>
      </c>
      <c r="F14" t="s">
        <v>18</v>
      </c>
      <c r="G14" s="3">
        <v>1</v>
      </c>
      <c r="H14" s="4">
        <v>133</v>
      </c>
      <c r="I14" s="4">
        <v>133</v>
      </c>
    </row>
    <row r="15" spans="1:9">
      <c r="A15" t="s">
        <v>41</v>
      </c>
      <c r="B15" s="2">
        <v>45706</v>
      </c>
      <c r="C15" t="s">
        <v>20</v>
      </c>
      <c r="D15" t="s">
        <v>11</v>
      </c>
      <c r="E15" t="s">
        <v>12</v>
      </c>
      <c r="F15" t="s">
        <v>22</v>
      </c>
      <c r="G15" s="3">
        <v>12</v>
      </c>
      <c r="H15" s="4">
        <v>300</v>
      </c>
      <c r="I15" s="4">
        <v>3600</v>
      </c>
    </row>
    <row r="16" spans="1:9">
      <c r="A16" t="s">
        <v>42</v>
      </c>
      <c r="B16" s="2">
        <v>45709</v>
      </c>
      <c r="C16" t="s">
        <v>24</v>
      </c>
      <c r="D16" t="s">
        <v>16</v>
      </c>
      <c r="E16" t="s">
        <v>17</v>
      </c>
      <c r="F16" t="s">
        <v>26</v>
      </c>
      <c r="G16" s="3">
        <v>12</v>
      </c>
      <c r="H16" s="4">
        <v>105</v>
      </c>
      <c r="I16" s="4">
        <v>1260</v>
      </c>
    </row>
    <row r="17" spans="1:9">
      <c r="A17" t="s">
        <v>43</v>
      </c>
      <c r="B17" s="2">
        <v>45712</v>
      </c>
      <c r="C17" t="s">
        <v>10</v>
      </c>
      <c r="D17" t="s">
        <v>21</v>
      </c>
      <c r="E17" t="s">
        <v>17</v>
      </c>
      <c r="F17" t="s">
        <v>13</v>
      </c>
      <c r="G17" s="3">
        <v>6</v>
      </c>
      <c r="H17" s="4">
        <v>110</v>
      </c>
      <c r="I17" s="4">
        <v>660</v>
      </c>
    </row>
    <row r="18" spans="1:9">
      <c r="A18" t="s">
        <v>44</v>
      </c>
      <c r="B18" s="2">
        <v>45719</v>
      </c>
      <c r="C18" t="s">
        <v>20</v>
      </c>
      <c r="D18" t="s">
        <v>32</v>
      </c>
      <c r="E18" t="s">
        <v>33</v>
      </c>
      <c r="F18" t="s">
        <v>22</v>
      </c>
      <c r="G18" s="3">
        <v>4</v>
      </c>
      <c r="H18" s="4">
        <v>427.5</v>
      </c>
      <c r="I18" s="4">
        <v>1710</v>
      </c>
    </row>
    <row r="19" spans="1:9">
      <c r="A19" t="s">
        <v>45</v>
      </c>
      <c r="B19" s="2">
        <v>45722</v>
      </c>
      <c r="C19" t="s">
        <v>24</v>
      </c>
      <c r="D19" t="s">
        <v>35</v>
      </c>
      <c r="E19" t="s">
        <v>17</v>
      </c>
      <c r="F19" t="s">
        <v>26</v>
      </c>
      <c r="G19" s="3">
        <v>9</v>
      </c>
      <c r="H19" s="4">
        <v>147</v>
      </c>
      <c r="I19" s="4">
        <v>1323</v>
      </c>
    </row>
    <row r="20" spans="1:9">
      <c r="A20" t="s">
        <v>46</v>
      </c>
      <c r="B20" s="2">
        <v>45725</v>
      </c>
      <c r="C20" t="s">
        <v>10</v>
      </c>
      <c r="D20" t="s">
        <v>11</v>
      </c>
      <c r="E20" t="s">
        <v>12</v>
      </c>
      <c r="F20" t="s">
        <v>13</v>
      </c>
      <c r="G20" s="3">
        <v>2</v>
      </c>
      <c r="H20" s="4">
        <v>285</v>
      </c>
      <c r="I20" s="4">
        <v>570</v>
      </c>
    </row>
    <row r="21" spans="1:9">
      <c r="A21" t="s">
        <v>47</v>
      </c>
      <c r="B21" s="2">
        <v>45728</v>
      </c>
      <c r="C21" t="s">
        <v>15</v>
      </c>
      <c r="D21" t="s">
        <v>16</v>
      </c>
      <c r="E21" t="s">
        <v>17</v>
      </c>
      <c r="F21" t="s">
        <v>18</v>
      </c>
      <c r="G21" s="3">
        <v>11</v>
      </c>
      <c r="H21" s="4">
        <v>95</v>
      </c>
      <c r="I21" s="4">
        <v>1045</v>
      </c>
    </row>
    <row r="22" spans="1:9">
      <c r="A22" t="s">
        <v>48</v>
      </c>
      <c r="B22" s="2">
        <v>45731</v>
      </c>
      <c r="C22" t="s">
        <v>20</v>
      </c>
      <c r="D22" t="s">
        <v>21</v>
      </c>
      <c r="E22" t="s">
        <v>17</v>
      </c>
      <c r="F22" t="s">
        <v>22</v>
      </c>
      <c r="G22" s="3">
        <v>4</v>
      </c>
      <c r="H22" s="4">
        <v>110</v>
      </c>
      <c r="I22" s="4">
        <v>440</v>
      </c>
    </row>
    <row r="23" spans="1:9">
      <c r="A23" t="s">
        <v>49</v>
      </c>
      <c r="B23" s="2">
        <v>45734</v>
      </c>
      <c r="C23" t="s">
        <v>24</v>
      </c>
      <c r="D23" t="s">
        <v>25</v>
      </c>
      <c r="E23" t="s">
        <v>12</v>
      </c>
      <c r="F23" t="s">
        <v>26</v>
      </c>
      <c r="G23" s="3">
        <v>12</v>
      </c>
      <c r="H23" s="4">
        <v>650</v>
      </c>
      <c r="I23" s="4">
        <v>7800</v>
      </c>
    </row>
    <row r="24" spans="1:9">
      <c r="A24" t="s">
        <v>50</v>
      </c>
      <c r="B24" s="2">
        <v>45737</v>
      </c>
      <c r="C24" t="s">
        <v>10</v>
      </c>
      <c r="D24" t="s">
        <v>28</v>
      </c>
      <c r="E24" t="s">
        <v>17</v>
      </c>
      <c r="F24" t="s">
        <v>13</v>
      </c>
      <c r="G24" s="3">
        <v>1</v>
      </c>
      <c r="H24" s="4">
        <v>60</v>
      </c>
      <c r="I24" s="4">
        <v>60</v>
      </c>
    </row>
    <row r="25" spans="1:9">
      <c r="A25" t="s">
        <v>51</v>
      </c>
      <c r="B25" s="2">
        <v>45740</v>
      </c>
      <c r="C25" t="s">
        <v>15</v>
      </c>
      <c r="D25" t="s">
        <v>30</v>
      </c>
      <c r="E25" t="s">
        <v>12</v>
      </c>
      <c r="F25" t="s">
        <v>18</v>
      </c>
      <c r="G25" s="3">
        <v>7</v>
      </c>
      <c r="H25" s="4">
        <v>1200</v>
      </c>
      <c r="I25" s="4">
        <v>8400</v>
      </c>
    </row>
    <row r="26" spans="1:9">
      <c r="A26" t="s">
        <v>52</v>
      </c>
      <c r="B26" s="2">
        <v>45750</v>
      </c>
      <c r="C26" t="s">
        <v>24</v>
      </c>
      <c r="D26" t="s">
        <v>16</v>
      </c>
      <c r="E26" t="s">
        <v>17</v>
      </c>
      <c r="F26" t="s">
        <v>26</v>
      </c>
      <c r="G26" s="3">
        <v>2</v>
      </c>
      <c r="H26" s="4">
        <v>95</v>
      </c>
      <c r="I26" s="4">
        <v>190</v>
      </c>
    </row>
    <row r="27" spans="1:9">
      <c r="A27" t="s">
        <v>53</v>
      </c>
      <c r="B27" s="2">
        <v>45753</v>
      </c>
      <c r="C27" t="s">
        <v>10</v>
      </c>
      <c r="D27" t="s">
        <v>21</v>
      </c>
      <c r="E27" t="s">
        <v>17</v>
      </c>
      <c r="F27" t="s">
        <v>13</v>
      </c>
      <c r="G27" s="3">
        <v>2</v>
      </c>
      <c r="H27" s="4">
        <v>104.5</v>
      </c>
      <c r="I27" s="4">
        <v>209</v>
      </c>
    </row>
    <row r="28" spans="1:9">
      <c r="A28" t="s">
        <v>54</v>
      </c>
      <c r="B28" s="2">
        <v>45756</v>
      </c>
      <c r="C28" t="s">
        <v>15</v>
      </c>
      <c r="D28" t="s">
        <v>25</v>
      </c>
      <c r="E28" t="s">
        <v>12</v>
      </c>
      <c r="F28" t="s">
        <v>18</v>
      </c>
      <c r="G28" s="3">
        <v>10</v>
      </c>
      <c r="H28" s="4">
        <v>682.5</v>
      </c>
      <c r="I28" s="4">
        <v>6825</v>
      </c>
    </row>
    <row r="29" spans="1:9">
      <c r="A29" t="s">
        <v>55</v>
      </c>
      <c r="B29" s="2">
        <v>45759</v>
      </c>
      <c r="C29" t="s">
        <v>20</v>
      </c>
      <c r="D29" t="s">
        <v>28</v>
      </c>
      <c r="E29" t="s">
        <v>17</v>
      </c>
      <c r="F29" t="s">
        <v>22</v>
      </c>
      <c r="G29" s="3">
        <v>8</v>
      </c>
      <c r="H29" s="4">
        <v>60</v>
      </c>
      <c r="I29" s="4">
        <v>480</v>
      </c>
    </row>
    <row r="30" spans="1:9">
      <c r="A30" t="s">
        <v>56</v>
      </c>
      <c r="B30" s="2">
        <v>45762</v>
      </c>
      <c r="C30" t="s">
        <v>24</v>
      </c>
      <c r="D30" t="s">
        <v>30</v>
      </c>
      <c r="E30" t="s">
        <v>12</v>
      </c>
      <c r="F30" t="s">
        <v>26</v>
      </c>
      <c r="G30" s="3">
        <v>6</v>
      </c>
      <c r="H30" s="4">
        <v>1260</v>
      </c>
      <c r="I30" s="4">
        <v>7560</v>
      </c>
    </row>
    <row r="31" spans="1:9">
      <c r="A31" t="s">
        <v>57</v>
      </c>
      <c r="B31" s="2">
        <v>45765</v>
      </c>
      <c r="C31" t="s">
        <v>10</v>
      </c>
      <c r="D31" t="s">
        <v>32</v>
      </c>
      <c r="E31" t="s">
        <v>33</v>
      </c>
      <c r="F31" t="s">
        <v>13</v>
      </c>
      <c r="G31" s="3">
        <v>8</v>
      </c>
      <c r="H31" s="4">
        <v>450</v>
      </c>
      <c r="I31" s="4">
        <v>3600</v>
      </c>
    </row>
    <row r="32" spans="1:9">
      <c r="A32" t="s">
        <v>58</v>
      </c>
      <c r="B32" s="2">
        <v>45768</v>
      </c>
      <c r="C32" t="s">
        <v>15</v>
      </c>
      <c r="D32" t="s">
        <v>35</v>
      </c>
      <c r="E32" t="s">
        <v>17</v>
      </c>
      <c r="F32" t="s">
        <v>18</v>
      </c>
      <c r="G32" s="3">
        <v>12</v>
      </c>
      <c r="H32" s="4">
        <v>140</v>
      </c>
      <c r="I32" s="4">
        <v>1680</v>
      </c>
    </row>
    <row r="33" spans="1:9">
      <c r="A33" t="s">
        <v>59</v>
      </c>
      <c r="B33" s="2">
        <v>45771</v>
      </c>
      <c r="C33" t="s">
        <v>20</v>
      </c>
      <c r="D33" t="s">
        <v>11</v>
      </c>
      <c r="E33" t="s">
        <v>12</v>
      </c>
      <c r="F33" t="s">
        <v>22</v>
      </c>
      <c r="G33" s="3">
        <v>8</v>
      </c>
      <c r="H33" s="4">
        <v>300</v>
      </c>
      <c r="I33" s="4">
        <v>2400</v>
      </c>
    </row>
    <row r="34" spans="1:9">
      <c r="A34" t="s">
        <v>60</v>
      </c>
      <c r="B34" s="2">
        <v>45780</v>
      </c>
      <c r="C34" t="s">
        <v>10</v>
      </c>
      <c r="D34" t="s">
        <v>28</v>
      </c>
      <c r="E34" t="s">
        <v>17</v>
      </c>
      <c r="F34" t="s">
        <v>13</v>
      </c>
      <c r="G34" s="3">
        <v>2</v>
      </c>
      <c r="H34" s="4">
        <v>57</v>
      </c>
      <c r="I34" s="4">
        <v>114</v>
      </c>
    </row>
    <row r="35" spans="1:9">
      <c r="A35" t="s">
        <v>61</v>
      </c>
      <c r="B35" s="2">
        <v>45783</v>
      </c>
      <c r="C35" t="s">
        <v>15</v>
      </c>
      <c r="D35" t="s">
        <v>30</v>
      </c>
      <c r="E35" t="s">
        <v>12</v>
      </c>
      <c r="F35" t="s">
        <v>18</v>
      </c>
      <c r="G35" s="3">
        <v>4</v>
      </c>
      <c r="H35" s="4">
        <v>1200</v>
      </c>
      <c r="I35" s="4">
        <v>4800</v>
      </c>
    </row>
    <row r="36" spans="1:9">
      <c r="A36" t="s">
        <v>62</v>
      </c>
      <c r="B36" s="2">
        <v>45786</v>
      </c>
      <c r="C36" t="s">
        <v>20</v>
      </c>
      <c r="D36" t="s">
        <v>32</v>
      </c>
      <c r="E36" t="s">
        <v>33</v>
      </c>
      <c r="F36" t="s">
        <v>22</v>
      </c>
      <c r="G36" s="3">
        <v>6</v>
      </c>
      <c r="H36" s="4">
        <v>450</v>
      </c>
      <c r="I36" s="4">
        <v>2700</v>
      </c>
    </row>
    <row r="37" spans="1:9">
      <c r="A37" t="s">
        <v>63</v>
      </c>
      <c r="B37" s="2">
        <v>45789</v>
      </c>
      <c r="C37" t="s">
        <v>24</v>
      </c>
      <c r="D37" t="s">
        <v>35</v>
      </c>
      <c r="E37" t="s">
        <v>17</v>
      </c>
      <c r="F37" t="s">
        <v>26</v>
      </c>
      <c r="G37" s="3">
        <v>2</v>
      </c>
      <c r="H37" s="4">
        <v>140</v>
      </c>
      <c r="I37" s="4">
        <v>280</v>
      </c>
    </row>
    <row r="38" spans="1:9">
      <c r="A38" t="s">
        <v>64</v>
      </c>
      <c r="B38" s="2">
        <v>45792</v>
      </c>
      <c r="C38" t="s">
        <v>10</v>
      </c>
      <c r="D38" t="s">
        <v>11</v>
      </c>
      <c r="E38" t="s">
        <v>12</v>
      </c>
      <c r="F38" t="s">
        <v>13</v>
      </c>
      <c r="G38" s="3">
        <v>6</v>
      </c>
      <c r="H38" s="4">
        <v>315</v>
      </c>
      <c r="I38" s="4">
        <v>1890</v>
      </c>
    </row>
    <row r="39" spans="1:9">
      <c r="A39" t="s">
        <v>65</v>
      </c>
      <c r="B39" s="2">
        <v>45795</v>
      </c>
      <c r="C39" t="s">
        <v>15</v>
      </c>
      <c r="D39" t="s">
        <v>16</v>
      </c>
      <c r="E39" t="s">
        <v>17</v>
      </c>
      <c r="F39" t="s">
        <v>18</v>
      </c>
      <c r="G39" s="3">
        <v>6</v>
      </c>
      <c r="H39" s="4">
        <v>100</v>
      </c>
      <c r="I39" s="4">
        <v>600</v>
      </c>
    </row>
    <row r="40" spans="1:9">
      <c r="A40" t="s">
        <v>66</v>
      </c>
      <c r="B40" s="2">
        <v>45798</v>
      </c>
      <c r="C40" t="s">
        <v>20</v>
      </c>
      <c r="D40" t="s">
        <v>21</v>
      </c>
      <c r="E40" t="s">
        <v>17</v>
      </c>
      <c r="F40" t="s">
        <v>22</v>
      </c>
      <c r="G40" s="3">
        <v>12</v>
      </c>
      <c r="H40" s="4">
        <v>115.5</v>
      </c>
      <c r="I40" s="4">
        <v>1386</v>
      </c>
    </row>
    <row r="41" spans="1:9">
      <c r="A41" t="s">
        <v>67</v>
      </c>
      <c r="B41" s="2">
        <v>45801</v>
      </c>
      <c r="C41" t="s">
        <v>24</v>
      </c>
      <c r="D41" t="s">
        <v>25</v>
      </c>
      <c r="E41" t="s">
        <v>12</v>
      </c>
      <c r="F41" t="s">
        <v>26</v>
      </c>
      <c r="G41" s="3">
        <v>8</v>
      </c>
      <c r="H41" s="4">
        <v>650</v>
      </c>
      <c r="I41" s="4">
        <v>5200</v>
      </c>
    </row>
    <row r="42" spans="1:9">
      <c r="A42" t="s">
        <v>68</v>
      </c>
      <c r="B42" s="2">
        <v>45811</v>
      </c>
      <c r="C42" t="s">
        <v>15</v>
      </c>
      <c r="D42" t="s">
        <v>35</v>
      </c>
      <c r="E42" t="s">
        <v>17</v>
      </c>
      <c r="F42" t="s">
        <v>18</v>
      </c>
      <c r="G42" s="3">
        <v>3</v>
      </c>
      <c r="H42" s="4">
        <v>140</v>
      </c>
      <c r="I42" s="4">
        <v>420</v>
      </c>
    </row>
    <row r="43" spans="1:9">
      <c r="A43" t="s">
        <v>69</v>
      </c>
      <c r="B43" s="2">
        <v>45814</v>
      </c>
      <c r="C43" t="s">
        <v>20</v>
      </c>
      <c r="D43" t="s">
        <v>11</v>
      </c>
      <c r="E43" t="s">
        <v>12</v>
      </c>
      <c r="F43" t="s">
        <v>22</v>
      </c>
      <c r="G43" s="3">
        <v>2</v>
      </c>
      <c r="H43" s="4">
        <v>300</v>
      </c>
      <c r="I43" s="4">
        <v>600</v>
      </c>
    </row>
    <row r="44" spans="1:9">
      <c r="A44" t="s">
        <v>70</v>
      </c>
      <c r="B44" s="2">
        <v>45817</v>
      </c>
      <c r="C44" t="s">
        <v>24</v>
      </c>
      <c r="D44" t="s">
        <v>16</v>
      </c>
      <c r="E44" t="s">
        <v>17</v>
      </c>
      <c r="F44" t="s">
        <v>26</v>
      </c>
      <c r="G44" s="3">
        <v>3</v>
      </c>
      <c r="H44" s="4">
        <v>95</v>
      </c>
      <c r="I44" s="4">
        <v>285</v>
      </c>
    </row>
    <row r="45" spans="1:9">
      <c r="A45" t="s">
        <v>71</v>
      </c>
      <c r="B45" s="2">
        <v>45820</v>
      </c>
      <c r="C45" t="s">
        <v>10</v>
      </c>
      <c r="D45" t="s">
        <v>21</v>
      </c>
      <c r="E45" t="s">
        <v>17</v>
      </c>
      <c r="F45" t="s">
        <v>13</v>
      </c>
      <c r="G45" s="3">
        <v>4</v>
      </c>
      <c r="H45" s="4">
        <v>110</v>
      </c>
      <c r="I45" s="4">
        <v>440</v>
      </c>
    </row>
    <row r="46" spans="1:9">
      <c r="A46" t="s">
        <v>72</v>
      </c>
      <c r="B46" s="2">
        <v>45823</v>
      </c>
      <c r="C46" t="s">
        <v>15</v>
      </c>
      <c r="D46" t="s">
        <v>25</v>
      </c>
      <c r="E46" t="s">
        <v>12</v>
      </c>
      <c r="F46" t="s">
        <v>18</v>
      </c>
      <c r="G46" s="3">
        <v>2</v>
      </c>
      <c r="H46" s="4">
        <v>650</v>
      </c>
      <c r="I46" s="4">
        <v>1300</v>
      </c>
    </row>
    <row r="47" spans="1:9">
      <c r="A47" t="s">
        <v>73</v>
      </c>
      <c r="B47" s="2">
        <v>45826</v>
      </c>
      <c r="C47" t="s">
        <v>20</v>
      </c>
      <c r="D47" t="s">
        <v>28</v>
      </c>
      <c r="E47" t="s">
        <v>17</v>
      </c>
      <c r="F47" t="s">
        <v>22</v>
      </c>
      <c r="G47" s="3">
        <v>3</v>
      </c>
      <c r="H47" s="4">
        <v>63</v>
      </c>
      <c r="I47" s="4">
        <v>189</v>
      </c>
    </row>
    <row r="48" spans="1:9">
      <c r="A48" t="s">
        <v>74</v>
      </c>
      <c r="B48" s="2">
        <v>45829</v>
      </c>
      <c r="C48" t="s">
        <v>24</v>
      </c>
      <c r="D48" t="s">
        <v>30</v>
      </c>
      <c r="E48" t="s">
        <v>12</v>
      </c>
      <c r="F48" t="s">
        <v>26</v>
      </c>
      <c r="G48" s="3">
        <v>1</v>
      </c>
      <c r="H48" s="4">
        <v>1140</v>
      </c>
      <c r="I48" s="4">
        <v>1140</v>
      </c>
    </row>
    <row r="49" spans="1:9">
      <c r="A49" t="s">
        <v>75</v>
      </c>
      <c r="B49" s="2">
        <v>45832</v>
      </c>
      <c r="C49" t="s">
        <v>10</v>
      </c>
      <c r="D49" t="s">
        <v>32</v>
      </c>
      <c r="E49" t="s">
        <v>33</v>
      </c>
      <c r="F49" t="s">
        <v>13</v>
      </c>
      <c r="G49" s="3">
        <v>12</v>
      </c>
      <c r="H49" s="4">
        <v>450</v>
      </c>
      <c r="I49" s="4">
        <v>5400</v>
      </c>
    </row>
    <row r="50" spans="1:9">
      <c r="A50" t="s">
        <v>76</v>
      </c>
      <c r="B50" s="2">
        <v>45841</v>
      </c>
      <c r="C50" t="s">
        <v>20</v>
      </c>
      <c r="D50" t="s">
        <v>21</v>
      </c>
      <c r="E50" t="s">
        <v>17</v>
      </c>
      <c r="F50" t="s">
        <v>22</v>
      </c>
      <c r="G50" s="3">
        <v>3</v>
      </c>
      <c r="H50" s="4">
        <v>110</v>
      </c>
      <c r="I50" s="4">
        <v>330</v>
      </c>
    </row>
    <row r="51" spans="1:9">
      <c r="A51" t="s">
        <v>77</v>
      </c>
      <c r="B51" s="2">
        <v>45844</v>
      </c>
      <c r="C51" t="s">
        <v>24</v>
      </c>
      <c r="D51" t="s">
        <v>25</v>
      </c>
      <c r="E51" t="s">
        <v>12</v>
      </c>
      <c r="F51" t="s">
        <v>26</v>
      </c>
      <c r="G51" s="3">
        <v>10</v>
      </c>
      <c r="H51" s="4">
        <v>650</v>
      </c>
      <c r="I51" s="4">
        <v>6500</v>
      </c>
    </row>
    <row r="52" spans="1:9">
      <c r="A52" t="s">
        <v>78</v>
      </c>
      <c r="B52" s="2">
        <v>45847</v>
      </c>
      <c r="C52" t="s">
        <v>10</v>
      </c>
      <c r="D52" t="s">
        <v>28</v>
      </c>
      <c r="E52" t="s">
        <v>17</v>
      </c>
      <c r="F52" t="s">
        <v>13</v>
      </c>
      <c r="G52" s="3">
        <v>7</v>
      </c>
      <c r="H52" s="4">
        <v>60</v>
      </c>
      <c r="I52" s="4">
        <v>420</v>
      </c>
    </row>
    <row r="53" spans="1:9">
      <c r="A53" t="s">
        <v>79</v>
      </c>
      <c r="B53" s="2">
        <v>45850</v>
      </c>
      <c r="C53" t="s">
        <v>15</v>
      </c>
      <c r="D53" t="s">
        <v>30</v>
      </c>
      <c r="E53" t="s">
        <v>12</v>
      </c>
      <c r="F53" t="s">
        <v>18</v>
      </c>
      <c r="G53" s="3">
        <v>10</v>
      </c>
      <c r="H53" s="4">
        <v>1200</v>
      </c>
      <c r="I53" s="4">
        <v>12000</v>
      </c>
    </row>
    <row r="54" spans="1:9">
      <c r="A54" t="s">
        <v>80</v>
      </c>
      <c r="B54" s="2">
        <v>45853</v>
      </c>
      <c r="C54" t="s">
        <v>20</v>
      </c>
      <c r="D54" t="s">
        <v>32</v>
      </c>
      <c r="E54" t="s">
        <v>33</v>
      </c>
      <c r="F54" t="s">
        <v>22</v>
      </c>
      <c r="G54" s="3">
        <v>9</v>
      </c>
      <c r="H54" s="4">
        <v>450</v>
      </c>
      <c r="I54" s="4">
        <v>4050</v>
      </c>
    </row>
    <row r="55" spans="1:9">
      <c r="A55" t="s">
        <v>81</v>
      </c>
      <c r="B55" s="2">
        <v>45856</v>
      </c>
      <c r="C55" t="s">
        <v>24</v>
      </c>
      <c r="D55" t="s">
        <v>35</v>
      </c>
      <c r="E55" t="s">
        <v>17</v>
      </c>
      <c r="F55" t="s">
        <v>26</v>
      </c>
      <c r="G55" s="3">
        <v>9</v>
      </c>
      <c r="H55" s="4">
        <v>140</v>
      </c>
      <c r="I55" s="4">
        <v>1260</v>
      </c>
    </row>
    <row r="56" spans="1:9">
      <c r="A56" t="s">
        <v>82</v>
      </c>
      <c r="B56" s="2">
        <v>45859</v>
      </c>
      <c r="C56" t="s">
        <v>10</v>
      </c>
      <c r="D56" t="s">
        <v>11</v>
      </c>
      <c r="E56" t="s">
        <v>12</v>
      </c>
      <c r="F56" t="s">
        <v>13</v>
      </c>
      <c r="G56" s="3">
        <v>12</v>
      </c>
      <c r="H56" s="4">
        <v>300</v>
      </c>
      <c r="I56" s="4">
        <v>3600</v>
      </c>
    </row>
    <row r="57" spans="1:9">
      <c r="A57" t="s">
        <v>83</v>
      </c>
      <c r="B57" s="2">
        <v>45862</v>
      </c>
      <c r="C57" t="s">
        <v>15</v>
      </c>
      <c r="D57" t="s">
        <v>16</v>
      </c>
      <c r="E57" t="s">
        <v>17</v>
      </c>
      <c r="F57" t="s">
        <v>18</v>
      </c>
      <c r="G57" s="3">
        <v>8</v>
      </c>
      <c r="H57" s="4">
        <v>100</v>
      </c>
      <c r="I57" s="4">
        <v>800</v>
      </c>
    </row>
    <row r="58" spans="1:9">
      <c r="A58" t="s">
        <v>84</v>
      </c>
      <c r="B58" s="2">
        <v>45872</v>
      </c>
      <c r="C58" t="s">
        <v>24</v>
      </c>
      <c r="D58" t="s">
        <v>30</v>
      </c>
      <c r="E58" t="s">
        <v>12</v>
      </c>
      <c r="F58" t="s">
        <v>26</v>
      </c>
      <c r="G58" s="3">
        <v>1</v>
      </c>
      <c r="H58" s="4">
        <v>1200</v>
      </c>
      <c r="I58" s="4">
        <v>1200</v>
      </c>
    </row>
    <row r="59" spans="1:9">
      <c r="A59" t="s">
        <v>85</v>
      </c>
      <c r="B59" s="2">
        <v>45875</v>
      </c>
      <c r="C59" t="s">
        <v>10</v>
      </c>
      <c r="D59" t="s">
        <v>32</v>
      </c>
      <c r="E59" t="s">
        <v>33</v>
      </c>
      <c r="F59" t="s">
        <v>13</v>
      </c>
      <c r="G59" s="3">
        <v>11</v>
      </c>
      <c r="H59" s="4">
        <v>472.5</v>
      </c>
      <c r="I59" s="4">
        <v>5197.5</v>
      </c>
    </row>
    <row r="60" spans="1:9">
      <c r="A60" t="s">
        <v>86</v>
      </c>
      <c r="B60" s="2">
        <v>45878</v>
      </c>
      <c r="C60" t="s">
        <v>15</v>
      </c>
      <c r="D60" t="s">
        <v>35</v>
      </c>
      <c r="E60" t="s">
        <v>17</v>
      </c>
      <c r="F60" t="s">
        <v>18</v>
      </c>
      <c r="G60" s="3">
        <v>3</v>
      </c>
      <c r="H60" s="4">
        <v>140</v>
      </c>
      <c r="I60" s="4">
        <v>420</v>
      </c>
    </row>
    <row r="61" spans="1:9">
      <c r="A61" t="s">
        <v>87</v>
      </c>
      <c r="B61" s="2">
        <v>45881</v>
      </c>
      <c r="C61" t="s">
        <v>20</v>
      </c>
      <c r="D61" t="s">
        <v>11</v>
      </c>
      <c r="E61" t="s">
        <v>12</v>
      </c>
      <c r="F61" t="s">
        <v>22</v>
      </c>
      <c r="G61" s="3">
        <v>4</v>
      </c>
      <c r="H61" s="4">
        <v>300</v>
      </c>
      <c r="I61" s="4">
        <v>1200</v>
      </c>
    </row>
    <row r="62" spans="1:9">
      <c r="A62" t="s">
        <v>88</v>
      </c>
      <c r="B62" s="2">
        <v>45884</v>
      </c>
      <c r="C62" t="s">
        <v>24</v>
      </c>
      <c r="D62" t="s">
        <v>16</v>
      </c>
      <c r="E62" t="s">
        <v>17</v>
      </c>
      <c r="F62" t="s">
        <v>26</v>
      </c>
      <c r="G62" s="3">
        <v>9</v>
      </c>
      <c r="H62" s="4">
        <v>100</v>
      </c>
      <c r="I62" s="4">
        <v>900</v>
      </c>
    </row>
    <row r="63" spans="1:9">
      <c r="A63" t="s">
        <v>89</v>
      </c>
      <c r="B63" s="2">
        <v>45887</v>
      </c>
      <c r="C63" t="s">
        <v>10</v>
      </c>
      <c r="D63" t="s">
        <v>21</v>
      </c>
      <c r="E63" t="s">
        <v>17</v>
      </c>
      <c r="F63" t="s">
        <v>13</v>
      </c>
      <c r="G63" s="3">
        <v>12</v>
      </c>
      <c r="H63" s="4">
        <v>104.5</v>
      </c>
      <c r="I63" s="4">
        <v>1254</v>
      </c>
    </row>
    <row r="64" spans="1:9">
      <c r="A64" t="s">
        <v>90</v>
      </c>
      <c r="B64" s="2">
        <v>45890</v>
      </c>
      <c r="C64" t="s">
        <v>15</v>
      </c>
      <c r="D64" t="s">
        <v>25</v>
      </c>
      <c r="E64" t="s">
        <v>12</v>
      </c>
      <c r="F64" t="s">
        <v>18</v>
      </c>
      <c r="G64" s="3">
        <v>6</v>
      </c>
      <c r="H64" s="4">
        <v>650</v>
      </c>
      <c r="I64" s="4">
        <v>3900</v>
      </c>
    </row>
    <row r="65" spans="1:9">
      <c r="A65" t="s">
        <v>91</v>
      </c>
      <c r="B65" s="2">
        <v>45893</v>
      </c>
      <c r="C65" t="s">
        <v>20</v>
      </c>
      <c r="D65" t="s">
        <v>28</v>
      </c>
      <c r="E65" t="s">
        <v>17</v>
      </c>
      <c r="F65" t="s">
        <v>22</v>
      </c>
      <c r="G65" s="3">
        <v>3</v>
      </c>
      <c r="H65" s="4">
        <v>63</v>
      </c>
      <c r="I65" s="4">
        <v>189</v>
      </c>
    </row>
    <row r="66" spans="1:9">
      <c r="A66" t="s">
        <v>92</v>
      </c>
      <c r="B66" s="2">
        <v>45903</v>
      </c>
      <c r="C66" t="s">
        <v>10</v>
      </c>
      <c r="D66" t="s">
        <v>11</v>
      </c>
      <c r="E66" t="s">
        <v>12</v>
      </c>
      <c r="F66" t="s">
        <v>13</v>
      </c>
      <c r="G66" s="3">
        <v>6</v>
      </c>
      <c r="H66" s="4">
        <v>300</v>
      </c>
      <c r="I66" s="4">
        <v>1800</v>
      </c>
    </row>
    <row r="67" spans="1:9">
      <c r="A67" t="s">
        <v>93</v>
      </c>
      <c r="B67" s="2">
        <v>45906</v>
      </c>
      <c r="C67" t="s">
        <v>15</v>
      </c>
      <c r="D67" t="s">
        <v>16</v>
      </c>
      <c r="E67" t="s">
        <v>17</v>
      </c>
      <c r="F67" t="s">
        <v>18</v>
      </c>
      <c r="G67" s="3">
        <v>7</v>
      </c>
      <c r="H67" s="4">
        <v>100</v>
      </c>
      <c r="I67" s="4">
        <v>700</v>
      </c>
    </row>
    <row r="68" spans="1:9">
      <c r="A68" t="s">
        <v>94</v>
      </c>
      <c r="B68" s="2">
        <v>45909</v>
      </c>
      <c r="C68" t="s">
        <v>20</v>
      </c>
      <c r="D68" t="s">
        <v>21</v>
      </c>
      <c r="E68" t="s">
        <v>17</v>
      </c>
      <c r="F68" t="s">
        <v>22</v>
      </c>
      <c r="G68" s="3">
        <v>4</v>
      </c>
      <c r="H68" s="4">
        <v>110</v>
      </c>
      <c r="I68" s="4">
        <v>440</v>
      </c>
    </row>
    <row r="69" spans="1:9">
      <c r="A69" t="s">
        <v>95</v>
      </c>
      <c r="B69" s="2">
        <v>45912</v>
      </c>
      <c r="C69" t="s">
        <v>24</v>
      </c>
      <c r="D69" t="s">
        <v>25</v>
      </c>
      <c r="E69" t="s">
        <v>12</v>
      </c>
      <c r="F69" t="s">
        <v>26</v>
      </c>
      <c r="G69" s="3">
        <v>9</v>
      </c>
      <c r="H69" s="4">
        <v>650</v>
      </c>
      <c r="I69" s="4">
        <v>5850</v>
      </c>
    </row>
    <row r="70" spans="1:9">
      <c r="A70" t="s">
        <v>96</v>
      </c>
      <c r="B70" s="2">
        <v>45915</v>
      </c>
      <c r="C70" t="s">
        <v>10</v>
      </c>
      <c r="D70" t="s">
        <v>28</v>
      </c>
      <c r="E70" t="s">
        <v>17</v>
      </c>
      <c r="F70" t="s">
        <v>13</v>
      </c>
      <c r="G70" s="3">
        <v>1</v>
      </c>
      <c r="H70" s="4">
        <v>60</v>
      </c>
      <c r="I70" s="4">
        <v>60</v>
      </c>
    </row>
    <row r="71" spans="1:9">
      <c r="A71" t="s">
        <v>97</v>
      </c>
      <c r="B71" s="2">
        <v>45918</v>
      </c>
      <c r="C71" t="s">
        <v>15</v>
      </c>
      <c r="D71" t="s">
        <v>30</v>
      </c>
      <c r="E71" t="s">
        <v>12</v>
      </c>
      <c r="F71" t="s">
        <v>18</v>
      </c>
      <c r="G71" s="3">
        <v>2</v>
      </c>
      <c r="H71" s="4">
        <v>1200</v>
      </c>
      <c r="I71" s="4">
        <v>2400</v>
      </c>
    </row>
    <row r="72" spans="1:9">
      <c r="A72" t="s">
        <v>98</v>
      </c>
      <c r="B72" s="2">
        <v>45921</v>
      </c>
      <c r="C72" t="s">
        <v>20</v>
      </c>
      <c r="D72" t="s">
        <v>32</v>
      </c>
      <c r="E72" t="s">
        <v>33</v>
      </c>
      <c r="F72" t="s">
        <v>22</v>
      </c>
      <c r="G72" s="3">
        <v>10</v>
      </c>
      <c r="H72" s="4">
        <v>450</v>
      </c>
      <c r="I72" s="4">
        <v>4500</v>
      </c>
    </row>
    <row r="73" spans="1:9">
      <c r="A73" t="s">
        <v>99</v>
      </c>
      <c r="B73" s="2">
        <v>45924</v>
      </c>
      <c r="C73" t="s">
        <v>24</v>
      </c>
      <c r="D73" t="s">
        <v>35</v>
      </c>
      <c r="E73" t="s">
        <v>17</v>
      </c>
      <c r="F73" t="s">
        <v>26</v>
      </c>
      <c r="G73" s="3">
        <v>4</v>
      </c>
      <c r="H73" s="4">
        <v>140</v>
      </c>
      <c r="I73" s="4">
        <v>560</v>
      </c>
    </row>
    <row r="74" spans="1:9">
      <c r="A74" t="s">
        <v>100</v>
      </c>
      <c r="B74" s="2">
        <v>45933</v>
      </c>
      <c r="C74" t="s">
        <v>15</v>
      </c>
      <c r="D74" t="s">
        <v>25</v>
      </c>
      <c r="E74" t="s">
        <v>12</v>
      </c>
      <c r="F74" t="s">
        <v>18</v>
      </c>
      <c r="G74" s="3">
        <v>3</v>
      </c>
      <c r="H74" s="4">
        <v>650</v>
      </c>
      <c r="I74" s="4">
        <v>1950</v>
      </c>
    </row>
    <row r="75" spans="1:9">
      <c r="A75" t="s">
        <v>101</v>
      </c>
      <c r="B75" s="2">
        <v>45936</v>
      </c>
      <c r="C75" t="s">
        <v>20</v>
      </c>
      <c r="D75" t="s">
        <v>28</v>
      </c>
      <c r="E75" t="s">
        <v>17</v>
      </c>
      <c r="F75" t="s">
        <v>22</v>
      </c>
      <c r="G75" s="3">
        <v>1</v>
      </c>
      <c r="H75" s="4">
        <v>60</v>
      </c>
      <c r="I75" s="4">
        <v>60</v>
      </c>
    </row>
    <row r="76" spans="1:9">
      <c r="A76" t="s">
        <v>102</v>
      </c>
      <c r="B76" s="2">
        <v>45939</v>
      </c>
      <c r="C76" t="s">
        <v>24</v>
      </c>
      <c r="D76" t="s">
        <v>30</v>
      </c>
      <c r="E76" t="s">
        <v>12</v>
      </c>
      <c r="F76" t="s">
        <v>26</v>
      </c>
      <c r="G76" s="3">
        <v>11</v>
      </c>
      <c r="H76" s="4">
        <v>1200</v>
      </c>
      <c r="I76" s="4">
        <v>13200</v>
      </c>
    </row>
    <row r="77" spans="1:9">
      <c r="A77" t="s">
        <v>103</v>
      </c>
      <c r="B77" s="2">
        <v>45942</v>
      </c>
      <c r="C77" t="s">
        <v>10</v>
      </c>
      <c r="D77" t="s">
        <v>32</v>
      </c>
      <c r="E77" t="s">
        <v>33</v>
      </c>
      <c r="F77" t="s">
        <v>13</v>
      </c>
      <c r="G77" s="3">
        <v>2</v>
      </c>
      <c r="H77" s="4">
        <v>450</v>
      </c>
      <c r="I77" s="4">
        <v>900</v>
      </c>
    </row>
    <row r="78" spans="1:9">
      <c r="A78" t="s">
        <v>104</v>
      </c>
      <c r="B78" s="2">
        <v>45945</v>
      </c>
      <c r="C78" t="s">
        <v>15</v>
      </c>
      <c r="D78" t="s">
        <v>35</v>
      </c>
      <c r="E78" t="s">
        <v>17</v>
      </c>
      <c r="F78" t="s">
        <v>18</v>
      </c>
      <c r="G78" s="3">
        <v>7</v>
      </c>
      <c r="H78" s="4">
        <v>133</v>
      </c>
      <c r="I78" s="4">
        <v>931</v>
      </c>
    </row>
    <row r="79" spans="1:9">
      <c r="A79" t="s">
        <v>105</v>
      </c>
      <c r="B79" s="2">
        <v>45948</v>
      </c>
      <c r="C79" t="s">
        <v>20</v>
      </c>
      <c r="D79" t="s">
        <v>11</v>
      </c>
      <c r="E79" t="s">
        <v>12</v>
      </c>
      <c r="F79" t="s">
        <v>22</v>
      </c>
      <c r="G79" s="3">
        <v>7</v>
      </c>
      <c r="H79" s="4">
        <v>300</v>
      </c>
      <c r="I79" s="4">
        <v>2100</v>
      </c>
    </row>
    <row r="80" spans="1:9">
      <c r="A80" t="s">
        <v>106</v>
      </c>
      <c r="B80" s="2">
        <v>45951</v>
      </c>
      <c r="C80" t="s">
        <v>24</v>
      </c>
      <c r="D80" t="s">
        <v>16</v>
      </c>
      <c r="E80" t="s">
        <v>17</v>
      </c>
      <c r="F80" t="s">
        <v>26</v>
      </c>
      <c r="G80" s="3">
        <v>3</v>
      </c>
      <c r="H80" s="4">
        <v>105</v>
      </c>
      <c r="I80" s="4">
        <v>315</v>
      </c>
    </row>
    <row r="81" spans="1:9">
      <c r="A81" t="s">
        <v>107</v>
      </c>
      <c r="B81" s="2">
        <v>45954</v>
      </c>
      <c r="C81" t="s">
        <v>10</v>
      </c>
      <c r="D81" t="s">
        <v>21</v>
      </c>
      <c r="E81" t="s">
        <v>17</v>
      </c>
      <c r="F81" t="s">
        <v>13</v>
      </c>
      <c r="G81" s="3">
        <v>11</v>
      </c>
      <c r="H81" s="4">
        <v>110</v>
      </c>
      <c r="I81" s="4">
        <v>1210</v>
      </c>
    </row>
    <row r="82" spans="1:9">
      <c r="A82" t="s">
        <v>108</v>
      </c>
      <c r="B82" s="2">
        <v>45964</v>
      </c>
      <c r="C82" t="s">
        <v>20</v>
      </c>
      <c r="D82" t="s">
        <v>32</v>
      </c>
      <c r="E82" t="s">
        <v>33</v>
      </c>
      <c r="F82" t="s">
        <v>22</v>
      </c>
      <c r="G82" s="3">
        <v>5</v>
      </c>
      <c r="H82" s="4">
        <v>450</v>
      </c>
      <c r="I82" s="4">
        <v>2250</v>
      </c>
    </row>
    <row r="83" spans="1:9">
      <c r="A83" t="s">
        <v>109</v>
      </c>
      <c r="B83" s="2">
        <v>45967</v>
      </c>
      <c r="C83" t="s">
        <v>24</v>
      </c>
      <c r="D83" t="s">
        <v>35</v>
      </c>
      <c r="E83" t="s">
        <v>17</v>
      </c>
      <c r="F83" t="s">
        <v>26</v>
      </c>
      <c r="G83" s="3">
        <v>7</v>
      </c>
      <c r="H83" s="4">
        <v>133</v>
      </c>
      <c r="I83" s="4">
        <v>931</v>
      </c>
    </row>
    <row r="84" spans="1:9">
      <c r="A84" t="s">
        <v>110</v>
      </c>
      <c r="B84" s="2">
        <v>45970</v>
      </c>
      <c r="C84" t="s">
        <v>10</v>
      </c>
      <c r="D84" t="s">
        <v>11</v>
      </c>
      <c r="E84" t="s">
        <v>12</v>
      </c>
      <c r="F84" t="s">
        <v>13</v>
      </c>
      <c r="G84" s="3">
        <v>1</v>
      </c>
      <c r="H84" s="4">
        <v>300</v>
      </c>
      <c r="I84" s="4">
        <v>300</v>
      </c>
    </row>
    <row r="85" spans="1:9">
      <c r="A85" t="s">
        <v>111</v>
      </c>
      <c r="B85" s="2">
        <v>45973</v>
      </c>
      <c r="C85" t="s">
        <v>15</v>
      </c>
      <c r="D85" t="s">
        <v>16</v>
      </c>
      <c r="E85" t="s">
        <v>17</v>
      </c>
      <c r="F85" t="s">
        <v>18</v>
      </c>
      <c r="G85" s="3">
        <v>4</v>
      </c>
      <c r="H85" s="4">
        <v>105</v>
      </c>
      <c r="I85" s="4">
        <v>420</v>
      </c>
    </row>
    <row r="86" spans="1:9">
      <c r="A86" t="s">
        <v>112</v>
      </c>
      <c r="B86" s="2">
        <v>45976</v>
      </c>
      <c r="C86" t="s">
        <v>20</v>
      </c>
      <c r="D86" t="s">
        <v>21</v>
      </c>
      <c r="E86" t="s">
        <v>17</v>
      </c>
      <c r="F86" t="s">
        <v>22</v>
      </c>
      <c r="G86" s="3">
        <v>9</v>
      </c>
      <c r="H86" s="4">
        <v>104.5</v>
      </c>
      <c r="I86" s="4">
        <v>940.5</v>
      </c>
    </row>
    <row r="87" spans="1:9">
      <c r="A87" t="s">
        <v>113</v>
      </c>
      <c r="B87" s="2">
        <v>45979</v>
      </c>
      <c r="C87" t="s">
        <v>24</v>
      </c>
      <c r="D87" t="s">
        <v>25</v>
      </c>
      <c r="E87" t="s">
        <v>12</v>
      </c>
      <c r="F87" t="s">
        <v>26</v>
      </c>
      <c r="G87" s="3">
        <v>9</v>
      </c>
      <c r="H87" s="4">
        <v>617.5</v>
      </c>
      <c r="I87" s="4">
        <v>5557.5</v>
      </c>
    </row>
    <row r="88" spans="1:9">
      <c r="A88" t="s">
        <v>114</v>
      </c>
      <c r="B88" s="2">
        <v>45982</v>
      </c>
      <c r="C88" t="s">
        <v>10</v>
      </c>
      <c r="D88" t="s">
        <v>28</v>
      </c>
      <c r="E88" t="s">
        <v>17</v>
      </c>
      <c r="F88" t="s">
        <v>13</v>
      </c>
      <c r="G88" s="3">
        <v>8</v>
      </c>
      <c r="H88" s="4">
        <v>60</v>
      </c>
      <c r="I88" s="4">
        <v>480</v>
      </c>
    </row>
    <row r="89" spans="1:9">
      <c r="A89" t="s">
        <v>115</v>
      </c>
      <c r="B89" s="2">
        <v>45985</v>
      </c>
      <c r="C89" t="s">
        <v>15</v>
      </c>
      <c r="D89" t="s">
        <v>30</v>
      </c>
      <c r="E89" t="s">
        <v>12</v>
      </c>
      <c r="F89" t="s">
        <v>18</v>
      </c>
      <c r="G89" s="3">
        <v>4</v>
      </c>
      <c r="H89" s="4">
        <v>1140</v>
      </c>
      <c r="I89" s="4">
        <v>4560</v>
      </c>
    </row>
    <row r="90" spans="1:9">
      <c r="A90" t="s">
        <v>116</v>
      </c>
      <c r="B90" s="2">
        <v>45994</v>
      </c>
      <c r="C90" t="s">
        <v>24</v>
      </c>
      <c r="D90" t="s">
        <v>16</v>
      </c>
      <c r="E90" t="s">
        <v>17</v>
      </c>
      <c r="F90" t="s">
        <v>26</v>
      </c>
      <c r="G90" s="3">
        <v>3</v>
      </c>
      <c r="H90" s="4">
        <v>100</v>
      </c>
      <c r="I90" s="4">
        <v>300</v>
      </c>
    </row>
    <row r="91" spans="1:9">
      <c r="A91" t="s">
        <v>117</v>
      </c>
      <c r="B91" s="2">
        <v>45997</v>
      </c>
      <c r="C91" t="s">
        <v>10</v>
      </c>
      <c r="D91" t="s">
        <v>21</v>
      </c>
      <c r="E91" t="s">
        <v>17</v>
      </c>
      <c r="F91" t="s">
        <v>13</v>
      </c>
      <c r="G91" s="3">
        <v>3</v>
      </c>
      <c r="H91" s="4">
        <v>115.5</v>
      </c>
      <c r="I91" s="4">
        <v>346.5</v>
      </c>
    </row>
    <row r="92" spans="1:9">
      <c r="A92" t="s">
        <v>118</v>
      </c>
      <c r="B92" s="2">
        <v>46000</v>
      </c>
      <c r="C92" t="s">
        <v>15</v>
      </c>
      <c r="D92" t="s">
        <v>25</v>
      </c>
      <c r="E92" t="s">
        <v>12</v>
      </c>
      <c r="F92" t="s">
        <v>18</v>
      </c>
      <c r="G92" s="3">
        <v>1</v>
      </c>
      <c r="H92" s="4">
        <v>650</v>
      </c>
      <c r="I92" s="4">
        <v>650</v>
      </c>
    </row>
    <row r="93" spans="1:9">
      <c r="A93" t="s">
        <v>119</v>
      </c>
      <c r="B93" s="2">
        <v>46003</v>
      </c>
      <c r="C93" t="s">
        <v>20</v>
      </c>
      <c r="D93" t="s">
        <v>28</v>
      </c>
      <c r="E93" t="s">
        <v>17</v>
      </c>
      <c r="F93" t="s">
        <v>22</v>
      </c>
      <c r="G93" s="3">
        <v>6</v>
      </c>
      <c r="H93" s="4">
        <v>60</v>
      </c>
      <c r="I93" s="4">
        <v>360</v>
      </c>
    </row>
    <row r="94" spans="1:9">
      <c r="A94" t="s">
        <v>120</v>
      </c>
      <c r="B94" s="2">
        <v>46006</v>
      </c>
      <c r="C94" t="s">
        <v>24</v>
      </c>
      <c r="D94" t="s">
        <v>30</v>
      </c>
      <c r="E94" t="s">
        <v>12</v>
      </c>
      <c r="F94" t="s">
        <v>26</v>
      </c>
      <c r="G94" s="3">
        <v>2</v>
      </c>
      <c r="H94" s="4">
        <v>1200</v>
      </c>
      <c r="I94" s="4">
        <v>2400</v>
      </c>
    </row>
    <row r="95" spans="1:9">
      <c r="A95" t="s">
        <v>121</v>
      </c>
      <c r="B95" s="2">
        <v>46009</v>
      </c>
      <c r="C95" t="s">
        <v>10</v>
      </c>
      <c r="D95" t="s">
        <v>32</v>
      </c>
      <c r="E95" t="s">
        <v>33</v>
      </c>
      <c r="F95" t="s">
        <v>13</v>
      </c>
      <c r="G95" s="3">
        <v>10</v>
      </c>
      <c r="H95" s="4">
        <v>450</v>
      </c>
      <c r="I95" s="4">
        <v>4500</v>
      </c>
    </row>
    <row r="96" spans="1:9">
      <c r="A96" t="s">
        <v>122</v>
      </c>
      <c r="B96" s="2">
        <v>46012</v>
      </c>
      <c r="C96" t="s">
        <v>15</v>
      </c>
      <c r="D96" t="s">
        <v>35</v>
      </c>
      <c r="E96" t="s">
        <v>17</v>
      </c>
      <c r="F96" t="s">
        <v>18</v>
      </c>
      <c r="G96" s="3">
        <v>6</v>
      </c>
      <c r="H96" s="4">
        <v>147</v>
      </c>
      <c r="I96" s="4">
        <v>882</v>
      </c>
    </row>
    <row r="97" spans="1:9">
      <c r="A97" t="s">
        <v>123</v>
      </c>
      <c r="B97" s="2">
        <v>46015</v>
      </c>
      <c r="C97" t="s">
        <v>20</v>
      </c>
      <c r="D97" t="s">
        <v>11</v>
      </c>
      <c r="E97" t="s">
        <v>12</v>
      </c>
      <c r="F97" t="s">
        <v>22</v>
      </c>
      <c r="G97" s="3">
        <v>11</v>
      </c>
      <c r="H97" s="4">
        <v>300</v>
      </c>
      <c r="I97" s="4">
        <v>3300</v>
      </c>
    </row>
    <row r="98" spans="1:9">
      <c r="A98" t="s">
        <v>124</v>
      </c>
      <c r="B98" s="2">
        <v>46025</v>
      </c>
      <c r="C98" t="s">
        <v>15</v>
      </c>
      <c r="D98" t="s">
        <v>32</v>
      </c>
      <c r="E98" t="s">
        <v>33</v>
      </c>
      <c r="F98" t="s">
        <v>125</v>
      </c>
      <c r="G98" s="3">
        <v>10</v>
      </c>
      <c r="H98" s="4">
        <v>450</v>
      </c>
      <c r="I98" s="4">
        <v>4500</v>
      </c>
    </row>
    <row r="99" spans="1:9">
      <c r="A99" t="s">
        <v>126</v>
      </c>
      <c r="B99" s="2">
        <v>46028</v>
      </c>
      <c r="C99" t="s">
        <v>20</v>
      </c>
      <c r="D99" t="s">
        <v>35</v>
      </c>
      <c r="E99" t="s">
        <v>17</v>
      </c>
      <c r="F99" t="s">
        <v>127</v>
      </c>
      <c r="G99" s="3">
        <v>6</v>
      </c>
      <c r="H99" s="4">
        <v>140</v>
      </c>
      <c r="I99" s="4">
        <v>840</v>
      </c>
    </row>
    <row r="100" spans="1:9">
      <c r="A100" t="s">
        <v>128</v>
      </c>
      <c r="B100" s="2">
        <v>46031</v>
      </c>
      <c r="C100" t="s">
        <v>24</v>
      </c>
      <c r="D100" t="s">
        <v>11</v>
      </c>
      <c r="E100" t="s">
        <v>12</v>
      </c>
      <c r="F100" t="s">
        <v>129</v>
      </c>
      <c r="G100" s="3">
        <v>8</v>
      </c>
      <c r="H100" s="4">
        <v>285</v>
      </c>
      <c r="I100" s="4">
        <v>2280</v>
      </c>
    </row>
    <row r="101" spans="1:9">
      <c r="A101" t="s">
        <v>130</v>
      </c>
      <c r="B101" s="2">
        <v>46034</v>
      </c>
      <c r="C101" t="s">
        <v>10</v>
      </c>
      <c r="D101" t="s">
        <v>16</v>
      </c>
      <c r="E101" t="s">
        <v>17</v>
      </c>
      <c r="F101" t="s">
        <v>131</v>
      </c>
      <c r="G101" s="3">
        <v>1</v>
      </c>
      <c r="H101" s="4">
        <v>100</v>
      </c>
      <c r="I101" s="4">
        <v>100</v>
      </c>
    </row>
    <row r="102" spans="1:9">
      <c r="A102" t="s">
        <v>132</v>
      </c>
      <c r="B102" s="2">
        <v>46037</v>
      </c>
      <c r="C102" t="s">
        <v>15</v>
      </c>
      <c r="D102" t="s">
        <v>21</v>
      </c>
      <c r="E102" t="s">
        <v>17</v>
      </c>
      <c r="F102" t="s">
        <v>125</v>
      </c>
      <c r="G102" s="3">
        <v>6</v>
      </c>
      <c r="H102" s="4">
        <v>104.5</v>
      </c>
      <c r="I102" s="4">
        <v>627</v>
      </c>
    </row>
    <row r="103" spans="1:9">
      <c r="A103" t="s">
        <v>133</v>
      </c>
      <c r="B103" s="2">
        <v>46040</v>
      </c>
      <c r="C103" t="s">
        <v>20</v>
      </c>
      <c r="D103" t="s">
        <v>25</v>
      </c>
      <c r="E103" t="s">
        <v>12</v>
      </c>
      <c r="F103" t="s">
        <v>127</v>
      </c>
      <c r="G103" s="3">
        <v>5</v>
      </c>
      <c r="H103" s="4">
        <v>650</v>
      </c>
      <c r="I103" s="4">
        <v>3250</v>
      </c>
    </row>
    <row r="104" spans="1:9">
      <c r="A104" t="s">
        <v>134</v>
      </c>
      <c r="B104" s="2">
        <v>46043</v>
      </c>
      <c r="C104" t="s">
        <v>24</v>
      </c>
      <c r="D104" t="s">
        <v>28</v>
      </c>
      <c r="E104" t="s">
        <v>17</v>
      </c>
      <c r="F104" t="s">
        <v>129</v>
      </c>
      <c r="G104" s="3">
        <v>3</v>
      </c>
      <c r="H104" s="4">
        <v>63</v>
      </c>
      <c r="I104" s="4">
        <v>189</v>
      </c>
    </row>
    <row r="105" spans="1:9">
      <c r="A105" t="s">
        <v>135</v>
      </c>
      <c r="B105" s="2">
        <v>46046</v>
      </c>
      <c r="C105" t="s">
        <v>10</v>
      </c>
      <c r="D105" t="s">
        <v>30</v>
      </c>
      <c r="E105" t="s">
        <v>12</v>
      </c>
      <c r="F105" t="s">
        <v>131</v>
      </c>
      <c r="G105" s="3">
        <v>7</v>
      </c>
      <c r="H105" s="4">
        <v>1200</v>
      </c>
      <c r="I105" s="4">
        <v>8400</v>
      </c>
    </row>
    <row r="106" spans="1:9">
      <c r="A106" t="s">
        <v>136</v>
      </c>
      <c r="B106" s="2">
        <v>46056</v>
      </c>
      <c r="C106" t="s">
        <v>20</v>
      </c>
      <c r="D106" t="s">
        <v>16</v>
      </c>
      <c r="E106" t="s">
        <v>17</v>
      </c>
      <c r="F106" t="s">
        <v>127</v>
      </c>
      <c r="G106" s="3">
        <v>6</v>
      </c>
      <c r="H106" s="4">
        <v>105</v>
      </c>
      <c r="I106" s="4">
        <v>630</v>
      </c>
    </row>
    <row r="107" spans="1:9">
      <c r="A107" t="s">
        <v>137</v>
      </c>
      <c r="B107" s="2">
        <v>46059</v>
      </c>
      <c r="C107" t="s">
        <v>24</v>
      </c>
      <c r="D107" t="s">
        <v>21</v>
      </c>
      <c r="E107" t="s">
        <v>17</v>
      </c>
      <c r="F107" t="s">
        <v>129</v>
      </c>
      <c r="G107" s="3">
        <v>10</v>
      </c>
      <c r="H107" s="4">
        <v>104.5</v>
      </c>
      <c r="I107" s="4">
        <v>1045</v>
      </c>
    </row>
    <row r="108" spans="1:9">
      <c r="A108" t="s">
        <v>138</v>
      </c>
      <c r="B108" s="2">
        <v>46062</v>
      </c>
      <c r="C108" t="s">
        <v>10</v>
      </c>
      <c r="D108" t="s">
        <v>25</v>
      </c>
      <c r="E108" t="s">
        <v>12</v>
      </c>
      <c r="F108" t="s">
        <v>131</v>
      </c>
      <c r="G108" s="3">
        <v>5</v>
      </c>
      <c r="H108" s="4">
        <v>617.5</v>
      </c>
      <c r="I108" s="4">
        <v>3087.5</v>
      </c>
    </row>
    <row r="109" spans="1:9">
      <c r="A109" t="s">
        <v>139</v>
      </c>
      <c r="B109" s="2">
        <v>46065</v>
      </c>
      <c r="C109" t="s">
        <v>15</v>
      </c>
      <c r="D109" t="s">
        <v>28</v>
      </c>
      <c r="E109" t="s">
        <v>17</v>
      </c>
      <c r="F109" t="s">
        <v>125</v>
      </c>
      <c r="G109" s="3">
        <v>5</v>
      </c>
      <c r="H109" s="4">
        <v>60</v>
      </c>
      <c r="I109" s="4">
        <v>300</v>
      </c>
    </row>
    <row r="110" spans="1:9">
      <c r="A110" t="s">
        <v>140</v>
      </c>
      <c r="B110" s="2">
        <v>46068</v>
      </c>
      <c r="C110" t="s">
        <v>20</v>
      </c>
      <c r="D110" t="s">
        <v>30</v>
      </c>
      <c r="E110" t="s">
        <v>12</v>
      </c>
      <c r="F110" t="s">
        <v>127</v>
      </c>
      <c r="G110" s="3">
        <v>3</v>
      </c>
      <c r="H110" s="4">
        <v>1200</v>
      </c>
      <c r="I110" s="4">
        <v>3600</v>
      </c>
    </row>
    <row r="111" spans="1:9">
      <c r="A111" t="s">
        <v>141</v>
      </c>
      <c r="B111" s="2">
        <v>46071</v>
      </c>
      <c r="C111" t="s">
        <v>24</v>
      </c>
      <c r="D111" t="s">
        <v>32</v>
      </c>
      <c r="E111" t="s">
        <v>33</v>
      </c>
      <c r="F111" t="s">
        <v>129</v>
      </c>
      <c r="G111" s="3">
        <v>8</v>
      </c>
      <c r="H111" s="4">
        <v>450</v>
      </c>
      <c r="I111" s="4">
        <v>3600</v>
      </c>
    </row>
    <row r="112" spans="1:9">
      <c r="A112" t="s">
        <v>142</v>
      </c>
      <c r="B112" s="2">
        <v>46074</v>
      </c>
      <c r="C112" t="s">
        <v>10</v>
      </c>
      <c r="D112" t="s">
        <v>35</v>
      </c>
      <c r="E112" t="s">
        <v>17</v>
      </c>
      <c r="F112" t="s">
        <v>131</v>
      </c>
      <c r="G112" s="3">
        <v>1</v>
      </c>
      <c r="H112" s="4">
        <v>140</v>
      </c>
      <c r="I112" s="4">
        <v>140</v>
      </c>
    </row>
    <row r="113" spans="1:9">
      <c r="A113" t="s">
        <v>143</v>
      </c>
      <c r="B113" s="2">
        <v>46077</v>
      </c>
      <c r="C113" t="s">
        <v>15</v>
      </c>
      <c r="D113" t="s">
        <v>11</v>
      </c>
      <c r="E113" t="s">
        <v>12</v>
      </c>
      <c r="F113" t="s">
        <v>125</v>
      </c>
      <c r="G113" s="3">
        <v>7</v>
      </c>
      <c r="H113" s="4">
        <v>315</v>
      </c>
      <c r="I113" s="4">
        <v>2205</v>
      </c>
    </row>
    <row r="114" spans="1:9">
      <c r="A114" t="s">
        <v>144</v>
      </c>
      <c r="B114" s="2">
        <v>46084</v>
      </c>
      <c r="C114" t="s">
        <v>24</v>
      </c>
      <c r="D114" t="s">
        <v>28</v>
      </c>
      <c r="E114" t="s">
        <v>17</v>
      </c>
      <c r="F114" t="s">
        <v>129</v>
      </c>
      <c r="G114" s="3">
        <v>4</v>
      </c>
      <c r="H114" s="4">
        <v>60</v>
      </c>
      <c r="I114" s="4">
        <v>240</v>
      </c>
    </row>
    <row r="115" spans="1:9">
      <c r="A115" t="s">
        <v>145</v>
      </c>
      <c r="B115" s="2">
        <v>46087</v>
      </c>
      <c r="C115" t="s">
        <v>10</v>
      </c>
      <c r="D115" t="s">
        <v>30</v>
      </c>
      <c r="E115" t="s">
        <v>12</v>
      </c>
      <c r="F115" t="s">
        <v>131</v>
      </c>
      <c r="G115" s="3">
        <v>1</v>
      </c>
      <c r="H115" s="4">
        <v>1200</v>
      </c>
      <c r="I115" s="4">
        <v>1200</v>
      </c>
    </row>
    <row r="116" spans="1:9">
      <c r="A116" t="s">
        <v>146</v>
      </c>
      <c r="B116" s="2">
        <v>46090</v>
      </c>
      <c r="C116" t="s">
        <v>15</v>
      </c>
      <c r="D116" t="s">
        <v>32</v>
      </c>
      <c r="E116" t="s">
        <v>33</v>
      </c>
      <c r="F116" t="s">
        <v>125</v>
      </c>
      <c r="G116" s="3">
        <v>1</v>
      </c>
      <c r="H116" s="4">
        <v>450</v>
      </c>
      <c r="I116" s="4">
        <v>450</v>
      </c>
    </row>
    <row r="117" spans="1:9">
      <c r="A117" t="s">
        <v>147</v>
      </c>
      <c r="B117" s="2">
        <v>46093</v>
      </c>
      <c r="C117" t="s">
        <v>20</v>
      </c>
      <c r="D117" t="s">
        <v>35</v>
      </c>
      <c r="E117" t="s">
        <v>17</v>
      </c>
      <c r="F117" t="s">
        <v>127</v>
      </c>
      <c r="G117" s="3">
        <v>7</v>
      </c>
      <c r="H117" s="4">
        <v>133</v>
      </c>
      <c r="I117" s="4">
        <v>931</v>
      </c>
    </row>
    <row r="118" spans="1:9">
      <c r="A118" t="s">
        <v>148</v>
      </c>
      <c r="B118" s="2">
        <v>46096</v>
      </c>
      <c r="C118" t="s">
        <v>24</v>
      </c>
      <c r="D118" t="s">
        <v>11</v>
      </c>
      <c r="E118" t="s">
        <v>12</v>
      </c>
      <c r="F118" t="s">
        <v>129</v>
      </c>
      <c r="G118" s="3">
        <v>3</v>
      </c>
      <c r="H118" s="4">
        <v>300</v>
      </c>
      <c r="I118" s="4">
        <v>900</v>
      </c>
    </row>
    <row r="119" spans="1:9">
      <c r="A119" t="s">
        <v>149</v>
      </c>
      <c r="B119" s="2">
        <v>46099</v>
      </c>
      <c r="C119" t="s">
        <v>10</v>
      </c>
      <c r="D119" t="s">
        <v>16</v>
      </c>
      <c r="E119" t="s">
        <v>17</v>
      </c>
      <c r="F119" t="s">
        <v>131</v>
      </c>
      <c r="G119" s="3">
        <v>2</v>
      </c>
      <c r="H119" s="4">
        <v>95</v>
      </c>
      <c r="I119" s="4">
        <v>190</v>
      </c>
    </row>
    <row r="120" spans="1:9">
      <c r="A120" t="s">
        <v>150</v>
      </c>
      <c r="B120" s="2">
        <v>46102</v>
      </c>
      <c r="C120" t="s">
        <v>15</v>
      </c>
      <c r="D120" t="s">
        <v>21</v>
      </c>
      <c r="E120" t="s">
        <v>17</v>
      </c>
      <c r="F120" t="s">
        <v>125</v>
      </c>
      <c r="G120" s="3">
        <v>3</v>
      </c>
      <c r="H120" s="4">
        <v>115.5</v>
      </c>
      <c r="I120" s="4">
        <v>346.5</v>
      </c>
    </row>
    <row r="121" spans="1:9">
      <c r="A121" t="s">
        <v>151</v>
      </c>
      <c r="B121" s="2">
        <v>46105</v>
      </c>
      <c r="C121" t="s">
        <v>20</v>
      </c>
      <c r="D121" t="s">
        <v>25</v>
      </c>
      <c r="E121" t="s">
        <v>12</v>
      </c>
      <c r="F121" t="s">
        <v>127</v>
      </c>
      <c r="G121" s="3">
        <v>7</v>
      </c>
      <c r="H121" s="4">
        <v>650</v>
      </c>
      <c r="I121" s="4">
        <v>4550</v>
      </c>
    </row>
    <row r="122" spans="1:9">
      <c r="A122" t="s">
        <v>152</v>
      </c>
      <c r="B122" s="2">
        <v>46115</v>
      </c>
      <c r="C122" t="s">
        <v>10</v>
      </c>
      <c r="D122" t="s">
        <v>35</v>
      </c>
      <c r="E122" t="s">
        <v>17</v>
      </c>
      <c r="F122" t="s">
        <v>131</v>
      </c>
      <c r="G122" s="3">
        <v>4</v>
      </c>
      <c r="H122" s="4">
        <v>140</v>
      </c>
      <c r="I122" s="4">
        <v>560</v>
      </c>
    </row>
    <row r="123" spans="1:9">
      <c r="A123" t="s">
        <v>153</v>
      </c>
      <c r="B123" s="2">
        <v>46118</v>
      </c>
      <c r="C123" t="s">
        <v>15</v>
      </c>
      <c r="D123" t="s">
        <v>11</v>
      </c>
      <c r="E123" t="s">
        <v>12</v>
      </c>
      <c r="F123" t="s">
        <v>125</v>
      </c>
      <c r="G123" s="3">
        <v>2</v>
      </c>
      <c r="H123" s="4">
        <v>285</v>
      </c>
      <c r="I123" s="4">
        <v>570</v>
      </c>
    </row>
    <row r="124" spans="1:9">
      <c r="A124" t="s">
        <v>154</v>
      </c>
      <c r="B124" s="2">
        <v>46121</v>
      </c>
      <c r="C124" t="s">
        <v>20</v>
      </c>
      <c r="D124" t="s">
        <v>16</v>
      </c>
      <c r="E124" t="s">
        <v>17</v>
      </c>
      <c r="F124" t="s">
        <v>127</v>
      </c>
      <c r="G124" s="3">
        <v>3</v>
      </c>
      <c r="H124" s="4">
        <v>95</v>
      </c>
      <c r="I124" s="4">
        <v>285</v>
      </c>
    </row>
    <row r="125" spans="1:9">
      <c r="A125" t="s">
        <v>155</v>
      </c>
      <c r="B125" s="2">
        <v>46124</v>
      </c>
      <c r="C125" t="s">
        <v>24</v>
      </c>
      <c r="D125" t="s">
        <v>21</v>
      </c>
      <c r="E125" t="s">
        <v>17</v>
      </c>
      <c r="F125" t="s">
        <v>129</v>
      </c>
      <c r="G125" s="3">
        <v>11</v>
      </c>
      <c r="H125" s="4">
        <v>110</v>
      </c>
      <c r="I125" s="4">
        <v>1210</v>
      </c>
    </row>
    <row r="126" spans="1:9">
      <c r="A126" t="s">
        <v>156</v>
      </c>
      <c r="B126" s="2">
        <v>46127</v>
      </c>
      <c r="C126" t="s">
        <v>10</v>
      </c>
      <c r="D126" t="s">
        <v>25</v>
      </c>
      <c r="E126" t="s">
        <v>12</v>
      </c>
      <c r="F126" t="s">
        <v>131</v>
      </c>
      <c r="G126" s="3">
        <v>4</v>
      </c>
      <c r="H126" s="4">
        <v>617.5</v>
      </c>
      <c r="I126" s="4">
        <v>2470</v>
      </c>
    </row>
    <row r="127" spans="1:9">
      <c r="A127" t="s">
        <v>157</v>
      </c>
      <c r="B127" s="2">
        <v>46130</v>
      </c>
      <c r="C127" t="s">
        <v>15</v>
      </c>
      <c r="D127" t="s">
        <v>28</v>
      </c>
      <c r="E127" t="s">
        <v>17</v>
      </c>
      <c r="F127" t="s">
        <v>125</v>
      </c>
      <c r="G127" s="3">
        <v>8</v>
      </c>
      <c r="H127" s="4">
        <v>60</v>
      </c>
      <c r="I127" s="4">
        <v>480</v>
      </c>
    </row>
    <row r="128" spans="1:9">
      <c r="A128" t="s">
        <v>158</v>
      </c>
      <c r="B128" s="2">
        <v>46133</v>
      </c>
      <c r="C128" t="s">
        <v>20</v>
      </c>
      <c r="D128" t="s">
        <v>30</v>
      </c>
      <c r="E128" t="s">
        <v>12</v>
      </c>
      <c r="F128" t="s">
        <v>127</v>
      </c>
      <c r="G128" s="3">
        <v>10</v>
      </c>
      <c r="H128" s="4">
        <v>1200</v>
      </c>
      <c r="I128" s="4">
        <v>12000</v>
      </c>
    </row>
    <row r="129" spans="1:9">
      <c r="A129" t="s">
        <v>159</v>
      </c>
      <c r="B129" s="2">
        <v>46136</v>
      </c>
      <c r="C129" t="s">
        <v>24</v>
      </c>
      <c r="D129" t="s">
        <v>32</v>
      </c>
      <c r="E129" t="s">
        <v>33</v>
      </c>
      <c r="F129" t="s">
        <v>129</v>
      </c>
      <c r="G129" s="3">
        <v>5</v>
      </c>
      <c r="H129" s="4">
        <v>450</v>
      </c>
      <c r="I129" s="4">
        <v>2250</v>
      </c>
    </row>
    <row r="130" spans="1:9">
      <c r="A130" t="s">
        <v>160</v>
      </c>
      <c r="B130" s="2">
        <v>46145</v>
      </c>
      <c r="C130" t="s">
        <v>15</v>
      </c>
      <c r="D130" t="s">
        <v>21</v>
      </c>
      <c r="E130" t="s">
        <v>17</v>
      </c>
      <c r="F130" t="s">
        <v>125</v>
      </c>
      <c r="G130" s="3">
        <v>12</v>
      </c>
      <c r="H130" s="4">
        <v>115.5</v>
      </c>
      <c r="I130" s="4">
        <v>1386</v>
      </c>
    </row>
    <row r="131" spans="1:9">
      <c r="A131" t="s">
        <v>161</v>
      </c>
      <c r="B131" s="2">
        <v>46148</v>
      </c>
      <c r="C131" t="s">
        <v>20</v>
      </c>
      <c r="D131" t="s">
        <v>25</v>
      </c>
      <c r="E131" t="s">
        <v>12</v>
      </c>
      <c r="F131" t="s">
        <v>127</v>
      </c>
      <c r="G131" s="3">
        <v>7</v>
      </c>
      <c r="H131" s="4">
        <v>650</v>
      </c>
      <c r="I131" s="4">
        <v>4550</v>
      </c>
    </row>
    <row r="132" spans="1:9">
      <c r="A132" t="s">
        <v>162</v>
      </c>
      <c r="B132" s="2">
        <v>46151</v>
      </c>
      <c r="C132" t="s">
        <v>24</v>
      </c>
      <c r="D132" t="s">
        <v>28</v>
      </c>
      <c r="E132" t="s">
        <v>17</v>
      </c>
      <c r="F132" t="s">
        <v>129</v>
      </c>
      <c r="G132" s="3">
        <v>8</v>
      </c>
      <c r="H132" s="4">
        <v>60</v>
      </c>
      <c r="I132" s="4">
        <v>480</v>
      </c>
    </row>
    <row r="133" spans="1:9">
      <c r="A133" t="s">
        <v>163</v>
      </c>
      <c r="B133" s="2">
        <v>46154</v>
      </c>
      <c r="C133" t="s">
        <v>10</v>
      </c>
      <c r="D133" t="s">
        <v>30</v>
      </c>
      <c r="E133" t="s">
        <v>12</v>
      </c>
      <c r="F133" t="s">
        <v>131</v>
      </c>
      <c r="G133" s="3">
        <v>11</v>
      </c>
      <c r="H133" s="4">
        <v>1200</v>
      </c>
      <c r="I133" s="4">
        <v>13200</v>
      </c>
    </row>
    <row r="134" spans="1:9">
      <c r="A134" t="s">
        <v>164</v>
      </c>
      <c r="B134" s="2">
        <v>46157</v>
      </c>
      <c r="C134" t="s">
        <v>15</v>
      </c>
      <c r="D134" t="s">
        <v>32</v>
      </c>
      <c r="E134" t="s">
        <v>33</v>
      </c>
      <c r="F134" t="s">
        <v>125</v>
      </c>
      <c r="G134" s="3">
        <v>7</v>
      </c>
      <c r="H134" s="4">
        <v>427.5</v>
      </c>
      <c r="I134" s="4">
        <v>2992.5</v>
      </c>
    </row>
    <row r="135" spans="1:9">
      <c r="A135" t="s">
        <v>165</v>
      </c>
      <c r="B135" s="2">
        <v>46160</v>
      </c>
      <c r="C135" t="s">
        <v>20</v>
      </c>
      <c r="D135" t="s">
        <v>35</v>
      </c>
      <c r="E135" t="s">
        <v>17</v>
      </c>
      <c r="F135" t="s">
        <v>127</v>
      </c>
      <c r="G135" s="3">
        <v>1</v>
      </c>
      <c r="H135" s="4">
        <v>140</v>
      </c>
      <c r="I135" s="4">
        <v>140</v>
      </c>
    </row>
    <row r="136" spans="1:9">
      <c r="A136" t="s">
        <v>166</v>
      </c>
      <c r="B136" s="2">
        <v>46163</v>
      </c>
      <c r="C136" t="s">
        <v>24</v>
      </c>
      <c r="D136" t="s">
        <v>11</v>
      </c>
      <c r="E136" t="s">
        <v>12</v>
      </c>
      <c r="F136" t="s">
        <v>129</v>
      </c>
      <c r="G136" s="3">
        <v>2</v>
      </c>
      <c r="H136" s="4">
        <v>300</v>
      </c>
      <c r="I136" s="4">
        <v>600</v>
      </c>
    </row>
    <row r="137" spans="1:9">
      <c r="A137" t="s">
        <v>167</v>
      </c>
      <c r="B137" s="2">
        <v>46166</v>
      </c>
      <c r="C137" t="s">
        <v>10</v>
      </c>
      <c r="D137" t="s">
        <v>16</v>
      </c>
      <c r="E137" t="s">
        <v>17</v>
      </c>
      <c r="F137" t="s">
        <v>131</v>
      </c>
      <c r="G137" s="3">
        <v>1</v>
      </c>
      <c r="H137" s="4">
        <v>95</v>
      </c>
      <c r="I137" s="4">
        <v>95</v>
      </c>
    </row>
    <row r="138" spans="1:9">
      <c r="A138" t="s">
        <v>168</v>
      </c>
      <c r="B138" s="2">
        <v>46176</v>
      </c>
      <c r="C138" t="s">
        <v>20</v>
      </c>
      <c r="D138" t="s">
        <v>30</v>
      </c>
      <c r="E138" t="s">
        <v>12</v>
      </c>
      <c r="F138" t="s">
        <v>127</v>
      </c>
      <c r="G138" s="3">
        <v>6</v>
      </c>
      <c r="H138" s="4">
        <v>1200</v>
      </c>
      <c r="I138" s="4">
        <v>7200</v>
      </c>
    </row>
    <row r="139" spans="1:9">
      <c r="A139" t="s">
        <v>169</v>
      </c>
      <c r="B139" s="2">
        <v>46179</v>
      </c>
      <c r="C139" t="s">
        <v>24</v>
      </c>
      <c r="D139" t="s">
        <v>32</v>
      </c>
      <c r="E139" t="s">
        <v>33</v>
      </c>
      <c r="F139" t="s">
        <v>129</v>
      </c>
      <c r="G139" s="3">
        <v>11</v>
      </c>
      <c r="H139" s="4">
        <v>450</v>
      </c>
      <c r="I139" s="4">
        <v>4950</v>
      </c>
    </row>
    <row r="140" spans="1:9">
      <c r="A140" t="s">
        <v>170</v>
      </c>
      <c r="B140" s="2">
        <v>46182</v>
      </c>
      <c r="C140" t="s">
        <v>10</v>
      </c>
      <c r="D140" t="s">
        <v>35</v>
      </c>
      <c r="E140" t="s">
        <v>17</v>
      </c>
      <c r="F140" t="s">
        <v>131</v>
      </c>
      <c r="G140" s="3">
        <v>6</v>
      </c>
      <c r="H140" s="4">
        <v>140</v>
      </c>
      <c r="I140" s="4">
        <v>840</v>
      </c>
    </row>
    <row r="141" spans="1:9">
      <c r="A141" t="s">
        <v>171</v>
      </c>
      <c r="B141" s="2">
        <v>46185</v>
      </c>
      <c r="C141" t="s">
        <v>15</v>
      </c>
      <c r="D141" t="s">
        <v>11</v>
      </c>
      <c r="E141" t="s">
        <v>12</v>
      </c>
      <c r="F141" t="s">
        <v>125</v>
      </c>
      <c r="G141" s="3">
        <v>7</v>
      </c>
      <c r="H141" s="4">
        <v>300</v>
      </c>
      <c r="I141" s="4">
        <v>2100</v>
      </c>
    </row>
    <row r="142" spans="1:9">
      <c r="A142" t="s">
        <v>172</v>
      </c>
      <c r="B142" s="2">
        <v>46188</v>
      </c>
      <c r="C142" t="s">
        <v>20</v>
      </c>
      <c r="D142" t="s">
        <v>16</v>
      </c>
      <c r="E142" t="s">
        <v>17</v>
      </c>
      <c r="F142" t="s">
        <v>127</v>
      </c>
      <c r="G142" s="3">
        <v>2</v>
      </c>
      <c r="H142" s="4">
        <v>100</v>
      </c>
      <c r="I142" s="4">
        <v>200</v>
      </c>
    </row>
    <row r="143" spans="1:9">
      <c r="A143" t="s">
        <v>173</v>
      </c>
      <c r="B143" s="2">
        <v>46191</v>
      </c>
      <c r="C143" t="s">
        <v>24</v>
      </c>
      <c r="D143" t="s">
        <v>21</v>
      </c>
      <c r="E143" t="s">
        <v>17</v>
      </c>
      <c r="F143" t="s">
        <v>129</v>
      </c>
      <c r="G143" s="3">
        <v>8</v>
      </c>
      <c r="H143" s="4">
        <v>110</v>
      </c>
      <c r="I143" s="4">
        <v>880</v>
      </c>
    </row>
    <row r="144" spans="1:9">
      <c r="A144" t="s">
        <v>174</v>
      </c>
      <c r="B144" s="2">
        <v>46194</v>
      </c>
      <c r="C144" t="s">
        <v>10</v>
      </c>
      <c r="D144" t="s">
        <v>25</v>
      </c>
      <c r="E144" t="s">
        <v>12</v>
      </c>
      <c r="F144" t="s">
        <v>131</v>
      </c>
      <c r="G144" s="3">
        <v>11</v>
      </c>
      <c r="H144" s="4">
        <v>650</v>
      </c>
      <c r="I144" s="4">
        <v>7150</v>
      </c>
    </row>
    <row r="145" spans="1:9">
      <c r="A145" t="s">
        <v>175</v>
      </c>
      <c r="B145" s="2">
        <v>46197</v>
      </c>
      <c r="C145" t="s">
        <v>15</v>
      </c>
      <c r="D145" t="s">
        <v>28</v>
      </c>
      <c r="E145" t="s">
        <v>17</v>
      </c>
      <c r="F145" t="s">
        <v>125</v>
      </c>
      <c r="G145" s="3">
        <v>1</v>
      </c>
      <c r="H145" s="4">
        <v>60</v>
      </c>
      <c r="I145" s="4">
        <v>60</v>
      </c>
    </row>
    <row r="146" spans="1:9">
      <c r="A146" t="s">
        <v>176</v>
      </c>
      <c r="B146" s="2">
        <v>46206</v>
      </c>
      <c r="C146" t="s">
        <v>24</v>
      </c>
      <c r="D146" t="s">
        <v>11</v>
      </c>
      <c r="E146" t="s">
        <v>12</v>
      </c>
      <c r="F146" t="s">
        <v>129</v>
      </c>
      <c r="G146" s="3">
        <v>2</v>
      </c>
      <c r="H146" s="4">
        <v>300</v>
      </c>
      <c r="I146" s="4">
        <v>600</v>
      </c>
    </row>
    <row r="147" spans="1:9">
      <c r="A147" t="s">
        <v>177</v>
      </c>
      <c r="B147" s="2">
        <v>46209</v>
      </c>
      <c r="C147" t="s">
        <v>10</v>
      </c>
      <c r="D147" t="s">
        <v>16</v>
      </c>
      <c r="E147" t="s">
        <v>17</v>
      </c>
      <c r="F147" t="s">
        <v>131</v>
      </c>
      <c r="G147" s="3">
        <v>2</v>
      </c>
      <c r="H147" s="4">
        <v>100</v>
      </c>
      <c r="I147" s="4">
        <v>200</v>
      </c>
    </row>
    <row r="148" spans="1:9">
      <c r="A148" t="s">
        <v>178</v>
      </c>
      <c r="B148" s="2">
        <v>46212</v>
      </c>
      <c r="C148" t="s">
        <v>15</v>
      </c>
      <c r="D148" t="s">
        <v>21</v>
      </c>
      <c r="E148" t="s">
        <v>17</v>
      </c>
      <c r="F148" t="s">
        <v>125</v>
      </c>
      <c r="G148" s="3">
        <v>10</v>
      </c>
      <c r="H148" s="4">
        <v>115.5</v>
      </c>
      <c r="I148" s="4">
        <v>1155</v>
      </c>
    </row>
    <row r="149" spans="1:9">
      <c r="A149" t="s">
        <v>179</v>
      </c>
      <c r="B149" s="2">
        <v>46215</v>
      </c>
      <c r="C149" t="s">
        <v>20</v>
      </c>
      <c r="D149" t="s">
        <v>25</v>
      </c>
      <c r="E149" t="s">
        <v>12</v>
      </c>
      <c r="F149" t="s">
        <v>127</v>
      </c>
      <c r="G149" s="3">
        <v>12</v>
      </c>
      <c r="H149" s="4">
        <v>650</v>
      </c>
      <c r="I149" s="4">
        <v>7800</v>
      </c>
    </row>
    <row r="150" spans="1:9">
      <c r="A150" t="s">
        <v>180</v>
      </c>
      <c r="B150" s="2">
        <v>46218</v>
      </c>
      <c r="C150" t="s">
        <v>24</v>
      </c>
      <c r="D150" t="s">
        <v>28</v>
      </c>
      <c r="E150" t="s">
        <v>17</v>
      </c>
      <c r="F150" t="s">
        <v>129</v>
      </c>
      <c r="G150" s="3">
        <v>6</v>
      </c>
      <c r="H150" s="4">
        <v>60</v>
      </c>
      <c r="I150" s="4">
        <v>360</v>
      </c>
    </row>
    <row r="151" spans="1:9">
      <c r="A151" t="s">
        <v>181</v>
      </c>
      <c r="B151" s="2">
        <v>46221</v>
      </c>
      <c r="C151" t="s">
        <v>10</v>
      </c>
      <c r="D151" t="s">
        <v>30</v>
      </c>
      <c r="E151" t="s">
        <v>12</v>
      </c>
      <c r="F151" t="s">
        <v>131</v>
      </c>
      <c r="G151" s="3">
        <v>3</v>
      </c>
      <c r="H151" s="4">
        <v>1260</v>
      </c>
      <c r="I151" s="4">
        <v>3780</v>
      </c>
    </row>
    <row r="152" spans="1:9">
      <c r="A152" t="s">
        <v>182</v>
      </c>
      <c r="B152" s="2">
        <v>46224</v>
      </c>
      <c r="C152" t="s">
        <v>15</v>
      </c>
      <c r="D152" t="s">
        <v>32</v>
      </c>
      <c r="E152" t="s">
        <v>33</v>
      </c>
      <c r="F152" t="s">
        <v>125</v>
      </c>
      <c r="G152" s="3">
        <v>5</v>
      </c>
      <c r="H152" s="4">
        <v>472.5</v>
      </c>
      <c r="I152" s="4">
        <v>2362.5</v>
      </c>
    </row>
    <row r="153" spans="1:9">
      <c r="A153" t="s">
        <v>183</v>
      </c>
      <c r="B153" s="2">
        <v>46227</v>
      </c>
      <c r="C153" t="s">
        <v>20</v>
      </c>
      <c r="D153" t="s">
        <v>35</v>
      </c>
      <c r="E153" t="s">
        <v>17</v>
      </c>
      <c r="F153" t="s">
        <v>127</v>
      </c>
      <c r="G153" s="3">
        <v>6</v>
      </c>
      <c r="H153" s="4">
        <v>140</v>
      </c>
      <c r="I153" s="4">
        <v>840</v>
      </c>
    </row>
    <row r="154" spans="1:9">
      <c r="A154" t="s">
        <v>184</v>
      </c>
      <c r="B154" s="2">
        <v>46237</v>
      </c>
      <c r="C154" t="s">
        <v>10</v>
      </c>
      <c r="D154" t="s">
        <v>25</v>
      </c>
      <c r="E154" t="s">
        <v>12</v>
      </c>
      <c r="F154" t="s">
        <v>131</v>
      </c>
      <c r="G154" s="3">
        <v>5</v>
      </c>
      <c r="H154" s="4">
        <v>617.5</v>
      </c>
      <c r="I154" s="4">
        <v>3087.5</v>
      </c>
    </row>
    <row r="155" spans="1:9">
      <c r="A155" t="s">
        <v>185</v>
      </c>
      <c r="B155" s="2">
        <v>46240</v>
      </c>
      <c r="C155" t="s">
        <v>15</v>
      </c>
      <c r="D155" t="s">
        <v>28</v>
      </c>
      <c r="E155" t="s">
        <v>17</v>
      </c>
      <c r="F155" t="s">
        <v>125</v>
      </c>
      <c r="G155" s="3">
        <v>11</v>
      </c>
      <c r="H155" s="4">
        <v>60</v>
      </c>
      <c r="I155" s="4">
        <v>660</v>
      </c>
    </row>
    <row r="156" spans="1:9">
      <c r="A156" t="s">
        <v>186</v>
      </c>
      <c r="B156" s="2">
        <v>46243</v>
      </c>
      <c r="C156" t="s">
        <v>20</v>
      </c>
      <c r="D156" t="s">
        <v>30</v>
      </c>
      <c r="E156" t="s">
        <v>12</v>
      </c>
      <c r="F156" t="s">
        <v>127</v>
      </c>
      <c r="G156" s="3">
        <v>3</v>
      </c>
      <c r="H156" s="4">
        <v>1200</v>
      </c>
      <c r="I156" s="4">
        <v>3600</v>
      </c>
    </row>
    <row r="157" spans="1:9">
      <c r="A157" t="s">
        <v>187</v>
      </c>
      <c r="B157" s="2">
        <v>46246</v>
      </c>
      <c r="C157" t="s">
        <v>24</v>
      </c>
      <c r="D157" t="s">
        <v>32</v>
      </c>
      <c r="E157" t="s">
        <v>33</v>
      </c>
      <c r="F157" t="s">
        <v>129</v>
      </c>
      <c r="G157" s="3">
        <v>9</v>
      </c>
      <c r="H157" s="4">
        <v>427.5</v>
      </c>
      <c r="I157" s="4">
        <v>3847.5</v>
      </c>
    </row>
    <row r="158" spans="1:9">
      <c r="A158" t="s">
        <v>188</v>
      </c>
      <c r="B158" s="2">
        <v>46249</v>
      </c>
      <c r="C158" t="s">
        <v>10</v>
      </c>
      <c r="D158" t="s">
        <v>35</v>
      </c>
      <c r="E158" t="s">
        <v>17</v>
      </c>
      <c r="F158" t="s">
        <v>131</v>
      </c>
      <c r="G158" s="3">
        <v>5</v>
      </c>
      <c r="H158" s="4">
        <v>133</v>
      </c>
      <c r="I158" s="4">
        <v>665</v>
      </c>
    </row>
    <row r="159" spans="1:9">
      <c r="A159" t="s">
        <v>189</v>
      </c>
      <c r="B159" s="2">
        <v>46252</v>
      </c>
      <c r="C159" t="s">
        <v>15</v>
      </c>
      <c r="D159" t="s">
        <v>11</v>
      </c>
      <c r="E159" t="s">
        <v>12</v>
      </c>
      <c r="F159" t="s">
        <v>125</v>
      </c>
      <c r="G159" s="3">
        <v>1</v>
      </c>
      <c r="H159" s="4">
        <v>315</v>
      </c>
      <c r="I159" s="4">
        <v>315</v>
      </c>
    </row>
    <row r="160" spans="1:9">
      <c r="A160" t="s">
        <v>190</v>
      </c>
      <c r="B160" s="2">
        <v>46255</v>
      </c>
      <c r="C160" t="s">
        <v>20</v>
      </c>
      <c r="D160" t="s">
        <v>16</v>
      </c>
      <c r="E160" t="s">
        <v>17</v>
      </c>
      <c r="F160" t="s">
        <v>127</v>
      </c>
      <c r="G160" s="3">
        <v>2</v>
      </c>
      <c r="H160" s="4">
        <v>100</v>
      </c>
      <c r="I160" s="4">
        <v>200</v>
      </c>
    </row>
    <row r="161" spans="1:9">
      <c r="A161" t="s">
        <v>191</v>
      </c>
      <c r="B161" s="2">
        <v>46258</v>
      </c>
      <c r="C161" t="s">
        <v>24</v>
      </c>
      <c r="D161" t="s">
        <v>21</v>
      </c>
      <c r="E161" t="s">
        <v>17</v>
      </c>
      <c r="F161" t="s">
        <v>129</v>
      </c>
      <c r="G161" s="3">
        <v>10</v>
      </c>
      <c r="H161" s="4">
        <v>110</v>
      </c>
      <c r="I161" s="4">
        <v>1100</v>
      </c>
    </row>
    <row r="162" spans="1:9">
      <c r="A162" t="s">
        <v>192</v>
      </c>
      <c r="B162" s="2">
        <v>46268</v>
      </c>
      <c r="C162" t="s">
        <v>15</v>
      </c>
      <c r="D162" t="s">
        <v>32</v>
      </c>
      <c r="E162" t="s">
        <v>33</v>
      </c>
      <c r="F162" t="s">
        <v>125</v>
      </c>
      <c r="G162" s="3">
        <v>6</v>
      </c>
      <c r="H162" s="4">
        <v>450</v>
      </c>
      <c r="I162" s="4">
        <v>2700</v>
      </c>
    </row>
    <row r="163" spans="1:9">
      <c r="A163" t="s">
        <v>193</v>
      </c>
      <c r="B163" s="2">
        <v>46271</v>
      </c>
      <c r="C163" t="s">
        <v>20</v>
      </c>
      <c r="D163" t="s">
        <v>35</v>
      </c>
      <c r="E163" t="s">
        <v>17</v>
      </c>
      <c r="F163" t="s">
        <v>127</v>
      </c>
      <c r="G163" s="3">
        <v>3</v>
      </c>
      <c r="H163" s="4">
        <v>133</v>
      </c>
      <c r="I163" s="4">
        <v>399</v>
      </c>
    </row>
    <row r="164" spans="1:9">
      <c r="A164" t="s">
        <v>194</v>
      </c>
      <c r="B164" s="2">
        <v>46274</v>
      </c>
      <c r="C164" t="s">
        <v>24</v>
      </c>
      <c r="D164" t="s">
        <v>11</v>
      </c>
      <c r="E164" t="s">
        <v>12</v>
      </c>
      <c r="F164" t="s">
        <v>129</v>
      </c>
      <c r="G164" s="3">
        <v>12</v>
      </c>
      <c r="H164" s="4">
        <v>300</v>
      </c>
      <c r="I164" s="4">
        <v>3600</v>
      </c>
    </row>
    <row r="165" spans="1:9">
      <c r="A165" t="s">
        <v>195</v>
      </c>
      <c r="B165" s="2">
        <v>46277</v>
      </c>
      <c r="C165" t="s">
        <v>10</v>
      </c>
      <c r="D165" t="s">
        <v>16</v>
      </c>
      <c r="E165" t="s">
        <v>17</v>
      </c>
      <c r="F165" t="s">
        <v>131</v>
      </c>
      <c r="G165" s="3">
        <v>2</v>
      </c>
      <c r="H165" s="4">
        <v>105</v>
      </c>
      <c r="I165" s="4">
        <v>210</v>
      </c>
    </row>
    <row r="166" spans="1:9">
      <c r="A166" t="s">
        <v>196</v>
      </c>
      <c r="B166" s="2">
        <v>46280</v>
      </c>
      <c r="C166" t="s">
        <v>15</v>
      </c>
      <c r="D166" t="s">
        <v>21</v>
      </c>
      <c r="E166" t="s">
        <v>17</v>
      </c>
      <c r="F166" t="s">
        <v>125</v>
      </c>
      <c r="G166" s="3">
        <v>4</v>
      </c>
      <c r="H166" s="4">
        <v>110</v>
      </c>
      <c r="I166" s="4">
        <v>440</v>
      </c>
    </row>
    <row r="167" spans="1:9">
      <c r="A167" t="s">
        <v>197</v>
      </c>
      <c r="B167" s="2">
        <v>46283</v>
      </c>
      <c r="C167" t="s">
        <v>20</v>
      </c>
      <c r="D167" t="s">
        <v>25</v>
      </c>
      <c r="E167" t="s">
        <v>12</v>
      </c>
      <c r="F167" t="s">
        <v>127</v>
      </c>
      <c r="G167" s="3">
        <v>8</v>
      </c>
      <c r="H167" s="4">
        <v>650</v>
      </c>
      <c r="I167" s="4">
        <v>5200</v>
      </c>
    </row>
    <row r="168" spans="1:9">
      <c r="A168" t="s">
        <v>198</v>
      </c>
      <c r="B168" s="2">
        <v>46286</v>
      </c>
      <c r="C168" t="s">
        <v>24</v>
      </c>
      <c r="D168" t="s">
        <v>28</v>
      </c>
      <c r="E168" t="s">
        <v>17</v>
      </c>
      <c r="F168" t="s">
        <v>129</v>
      </c>
      <c r="G168" s="3">
        <v>1</v>
      </c>
      <c r="H168" s="4">
        <v>63</v>
      </c>
      <c r="I168" s="4">
        <v>63</v>
      </c>
    </row>
    <row r="169" spans="1:9">
      <c r="A169" t="s">
        <v>199</v>
      </c>
      <c r="B169" s="2">
        <v>46289</v>
      </c>
      <c r="C169" t="s">
        <v>10</v>
      </c>
      <c r="D169" t="s">
        <v>30</v>
      </c>
      <c r="E169" t="s">
        <v>12</v>
      </c>
      <c r="F169" t="s">
        <v>131</v>
      </c>
      <c r="G169" s="3">
        <v>7</v>
      </c>
      <c r="H169" s="4">
        <v>1200</v>
      </c>
      <c r="I169" s="4">
        <v>8400</v>
      </c>
    </row>
    <row r="170" spans="1:9">
      <c r="A170" t="s">
        <v>200</v>
      </c>
      <c r="B170" s="2">
        <v>46298</v>
      </c>
      <c r="C170" t="s">
        <v>20</v>
      </c>
      <c r="D170" t="s">
        <v>16</v>
      </c>
      <c r="E170" t="s">
        <v>17</v>
      </c>
      <c r="F170" t="s">
        <v>127</v>
      </c>
      <c r="G170" s="3">
        <v>2</v>
      </c>
      <c r="H170" s="4">
        <v>105</v>
      </c>
      <c r="I170" s="4">
        <v>210</v>
      </c>
    </row>
    <row r="171" spans="1:9">
      <c r="A171" t="s">
        <v>201</v>
      </c>
      <c r="B171" s="2">
        <v>46301</v>
      </c>
      <c r="C171" t="s">
        <v>24</v>
      </c>
      <c r="D171" t="s">
        <v>21</v>
      </c>
      <c r="E171" t="s">
        <v>17</v>
      </c>
      <c r="F171" t="s">
        <v>129</v>
      </c>
      <c r="G171" s="3">
        <v>6</v>
      </c>
      <c r="H171" s="4">
        <v>104.5</v>
      </c>
      <c r="I171" s="4">
        <v>627</v>
      </c>
    </row>
    <row r="172" spans="1:9">
      <c r="A172" t="s">
        <v>202</v>
      </c>
      <c r="B172" s="2">
        <v>46304</v>
      </c>
      <c r="C172" t="s">
        <v>10</v>
      </c>
      <c r="D172" t="s">
        <v>25</v>
      </c>
      <c r="E172" t="s">
        <v>12</v>
      </c>
      <c r="F172" t="s">
        <v>131</v>
      </c>
      <c r="G172" s="3">
        <v>12</v>
      </c>
      <c r="H172" s="4">
        <v>617.5</v>
      </c>
      <c r="I172" s="4">
        <v>7410</v>
      </c>
    </row>
    <row r="173" spans="1:9">
      <c r="A173" t="s">
        <v>203</v>
      </c>
      <c r="B173" s="2">
        <v>46307</v>
      </c>
      <c r="C173" t="s">
        <v>15</v>
      </c>
      <c r="D173" t="s">
        <v>28</v>
      </c>
      <c r="E173" t="s">
        <v>17</v>
      </c>
      <c r="F173" t="s">
        <v>125</v>
      </c>
      <c r="G173" s="3">
        <v>5</v>
      </c>
      <c r="H173" s="4">
        <v>60</v>
      </c>
      <c r="I173" s="4">
        <v>300</v>
      </c>
    </row>
    <row r="174" spans="1:9">
      <c r="A174" t="s">
        <v>204</v>
      </c>
      <c r="B174" s="2">
        <v>46310</v>
      </c>
      <c r="C174" t="s">
        <v>20</v>
      </c>
      <c r="D174" t="s">
        <v>30</v>
      </c>
      <c r="E174" t="s">
        <v>12</v>
      </c>
      <c r="F174" t="s">
        <v>127</v>
      </c>
      <c r="G174" s="3">
        <v>1</v>
      </c>
      <c r="H174" s="4">
        <v>1200</v>
      </c>
      <c r="I174" s="4">
        <v>1200</v>
      </c>
    </row>
    <row r="175" spans="1:9">
      <c r="A175" t="s">
        <v>205</v>
      </c>
      <c r="B175" s="2">
        <v>46313</v>
      </c>
      <c r="C175" t="s">
        <v>24</v>
      </c>
      <c r="D175" t="s">
        <v>32</v>
      </c>
      <c r="E175" t="s">
        <v>33</v>
      </c>
      <c r="F175" t="s">
        <v>129</v>
      </c>
      <c r="G175" s="3">
        <v>10</v>
      </c>
      <c r="H175" s="4">
        <v>450</v>
      </c>
      <c r="I175" s="4">
        <v>4500</v>
      </c>
    </row>
    <row r="176" spans="1:9">
      <c r="A176" t="s">
        <v>206</v>
      </c>
      <c r="B176" s="2">
        <v>46316</v>
      </c>
      <c r="C176" t="s">
        <v>10</v>
      </c>
      <c r="D176" t="s">
        <v>35</v>
      </c>
      <c r="E176" t="s">
        <v>17</v>
      </c>
      <c r="F176" t="s">
        <v>131</v>
      </c>
      <c r="G176" s="3">
        <v>10</v>
      </c>
      <c r="H176" s="4">
        <v>140</v>
      </c>
      <c r="I176" s="4">
        <v>1400</v>
      </c>
    </row>
    <row r="177" spans="1:9">
      <c r="A177" t="s">
        <v>207</v>
      </c>
      <c r="B177" s="2">
        <v>46319</v>
      </c>
      <c r="C177" t="s">
        <v>15</v>
      </c>
      <c r="D177" t="s">
        <v>11</v>
      </c>
      <c r="E177" t="s">
        <v>12</v>
      </c>
      <c r="F177" t="s">
        <v>125</v>
      </c>
      <c r="G177" s="3">
        <v>6</v>
      </c>
      <c r="H177" s="4">
        <v>300</v>
      </c>
      <c r="I177" s="4">
        <v>1800</v>
      </c>
    </row>
    <row r="178" spans="1:9">
      <c r="A178" t="s">
        <v>208</v>
      </c>
      <c r="B178" s="2">
        <v>46329</v>
      </c>
      <c r="C178" t="s">
        <v>24</v>
      </c>
      <c r="D178" t="s">
        <v>28</v>
      </c>
      <c r="E178" t="s">
        <v>17</v>
      </c>
      <c r="F178" t="s">
        <v>129</v>
      </c>
      <c r="G178" s="3">
        <v>2</v>
      </c>
      <c r="H178" s="4">
        <v>60</v>
      </c>
      <c r="I178" s="4">
        <v>120</v>
      </c>
    </row>
    <row r="179" spans="1:9">
      <c r="A179" t="s">
        <v>209</v>
      </c>
      <c r="B179" s="2">
        <v>46332</v>
      </c>
      <c r="C179" t="s">
        <v>10</v>
      </c>
      <c r="D179" t="s">
        <v>30</v>
      </c>
      <c r="E179" t="s">
        <v>12</v>
      </c>
      <c r="F179" t="s">
        <v>131</v>
      </c>
      <c r="G179" s="3">
        <v>2</v>
      </c>
      <c r="H179" s="4">
        <v>1200</v>
      </c>
      <c r="I179" s="4">
        <v>2400</v>
      </c>
    </row>
    <row r="180" spans="1:9">
      <c r="A180" t="s">
        <v>210</v>
      </c>
      <c r="B180" s="2">
        <v>46335</v>
      </c>
      <c r="C180" t="s">
        <v>15</v>
      </c>
      <c r="D180" t="s">
        <v>32</v>
      </c>
      <c r="E180" t="s">
        <v>33</v>
      </c>
      <c r="F180" t="s">
        <v>125</v>
      </c>
      <c r="G180" s="3">
        <v>7</v>
      </c>
      <c r="H180" s="4">
        <v>427.5</v>
      </c>
      <c r="I180" s="4">
        <v>2992.5</v>
      </c>
    </row>
    <row r="181" spans="1:9">
      <c r="A181" t="s">
        <v>211</v>
      </c>
      <c r="B181" s="2">
        <v>46338</v>
      </c>
      <c r="C181" t="s">
        <v>20</v>
      </c>
      <c r="D181" t="s">
        <v>35</v>
      </c>
      <c r="E181" t="s">
        <v>17</v>
      </c>
      <c r="F181" t="s">
        <v>127</v>
      </c>
      <c r="G181" s="3">
        <v>12</v>
      </c>
      <c r="H181" s="4">
        <v>140</v>
      </c>
      <c r="I181" s="4">
        <v>1680</v>
      </c>
    </row>
    <row r="182" spans="1:9">
      <c r="A182" t="s">
        <v>212</v>
      </c>
      <c r="B182" s="2">
        <v>46341</v>
      </c>
      <c r="C182" t="s">
        <v>24</v>
      </c>
      <c r="D182" t="s">
        <v>11</v>
      </c>
      <c r="E182" t="s">
        <v>12</v>
      </c>
      <c r="F182" t="s">
        <v>129</v>
      </c>
      <c r="G182" s="3">
        <v>5</v>
      </c>
      <c r="H182" s="4">
        <v>300</v>
      </c>
      <c r="I182" s="4">
        <v>1500</v>
      </c>
    </row>
    <row r="183" spans="1:9">
      <c r="A183" t="s">
        <v>213</v>
      </c>
      <c r="B183" s="2">
        <v>46344</v>
      </c>
      <c r="C183" t="s">
        <v>10</v>
      </c>
      <c r="D183" t="s">
        <v>16</v>
      </c>
      <c r="E183" t="s">
        <v>17</v>
      </c>
      <c r="F183" t="s">
        <v>131</v>
      </c>
      <c r="G183" s="3">
        <v>7</v>
      </c>
      <c r="H183" s="4">
        <v>100</v>
      </c>
      <c r="I183" s="4">
        <v>700</v>
      </c>
    </row>
    <row r="184" spans="1:9">
      <c r="A184" t="s">
        <v>214</v>
      </c>
      <c r="B184" s="2">
        <v>46347</v>
      </c>
      <c r="C184" t="s">
        <v>15</v>
      </c>
      <c r="D184" t="s">
        <v>21</v>
      </c>
      <c r="E184" t="s">
        <v>17</v>
      </c>
      <c r="F184" t="s">
        <v>125</v>
      </c>
      <c r="G184" s="3">
        <v>7</v>
      </c>
      <c r="H184" s="4">
        <v>110</v>
      </c>
      <c r="I184" s="4">
        <v>770</v>
      </c>
    </row>
    <row r="185" spans="1:9">
      <c r="A185" t="s">
        <v>215</v>
      </c>
      <c r="B185" s="2">
        <v>46350</v>
      </c>
      <c r="C185" t="s">
        <v>20</v>
      </c>
      <c r="D185" t="s">
        <v>25</v>
      </c>
      <c r="E185" t="s">
        <v>12</v>
      </c>
      <c r="F185" t="s">
        <v>127</v>
      </c>
      <c r="G185" s="3">
        <v>7</v>
      </c>
      <c r="H185" s="4">
        <v>682.5</v>
      </c>
      <c r="I185" s="4">
        <v>4777.5</v>
      </c>
    </row>
    <row r="186" spans="1:9">
      <c r="A186" t="s">
        <v>216</v>
      </c>
      <c r="B186" s="2">
        <v>46359</v>
      </c>
      <c r="C186" t="s">
        <v>10</v>
      </c>
      <c r="D186" t="s">
        <v>35</v>
      </c>
      <c r="E186" t="s">
        <v>17</v>
      </c>
      <c r="F186" t="s">
        <v>131</v>
      </c>
      <c r="G186" s="3">
        <v>6</v>
      </c>
      <c r="H186" s="4">
        <v>140</v>
      </c>
      <c r="I186" s="4">
        <v>840</v>
      </c>
    </row>
    <row r="187" spans="1:9">
      <c r="A187" t="s">
        <v>217</v>
      </c>
      <c r="B187" s="2">
        <v>46362</v>
      </c>
      <c r="C187" t="s">
        <v>15</v>
      </c>
      <c r="D187" t="s">
        <v>11</v>
      </c>
      <c r="E187" t="s">
        <v>12</v>
      </c>
      <c r="F187" t="s">
        <v>125</v>
      </c>
      <c r="G187" s="3">
        <v>8</v>
      </c>
      <c r="H187" s="4">
        <v>285</v>
      </c>
      <c r="I187" s="4">
        <v>2280</v>
      </c>
    </row>
    <row r="188" spans="1:9">
      <c r="A188" t="s">
        <v>218</v>
      </c>
      <c r="B188" s="2">
        <v>46365</v>
      </c>
      <c r="C188" t="s">
        <v>20</v>
      </c>
      <c r="D188" t="s">
        <v>16</v>
      </c>
      <c r="E188" t="s">
        <v>17</v>
      </c>
      <c r="F188" t="s">
        <v>127</v>
      </c>
      <c r="G188" s="3">
        <v>11</v>
      </c>
      <c r="H188" s="4">
        <v>100</v>
      </c>
      <c r="I188" s="4">
        <v>1100</v>
      </c>
    </row>
    <row r="189" spans="1:9">
      <c r="A189" t="s">
        <v>219</v>
      </c>
      <c r="B189" s="2">
        <v>46368</v>
      </c>
      <c r="C189" t="s">
        <v>24</v>
      </c>
      <c r="D189" t="s">
        <v>21</v>
      </c>
      <c r="E189" t="s">
        <v>17</v>
      </c>
      <c r="F189" t="s">
        <v>129</v>
      </c>
      <c r="G189" s="3">
        <v>7</v>
      </c>
      <c r="H189" s="4">
        <v>110</v>
      </c>
      <c r="I189" s="4">
        <v>770</v>
      </c>
    </row>
    <row r="190" spans="1:9">
      <c r="A190" t="s">
        <v>220</v>
      </c>
      <c r="B190" s="2">
        <v>46371</v>
      </c>
      <c r="C190" t="s">
        <v>10</v>
      </c>
      <c r="D190" t="s">
        <v>25</v>
      </c>
      <c r="E190" t="s">
        <v>12</v>
      </c>
      <c r="F190" t="s">
        <v>131</v>
      </c>
      <c r="G190" s="3">
        <v>5</v>
      </c>
      <c r="H190" s="4">
        <v>650</v>
      </c>
      <c r="I190" s="4">
        <v>3250</v>
      </c>
    </row>
    <row r="191" spans="1:9">
      <c r="A191" t="s">
        <v>221</v>
      </c>
      <c r="B191" s="2">
        <v>46374</v>
      </c>
      <c r="C191" t="s">
        <v>15</v>
      </c>
      <c r="D191" t="s">
        <v>28</v>
      </c>
      <c r="E191" t="s">
        <v>17</v>
      </c>
      <c r="F191" t="s">
        <v>125</v>
      </c>
      <c r="G191" s="3">
        <v>5</v>
      </c>
      <c r="H191" s="4">
        <v>60</v>
      </c>
      <c r="I191" s="4">
        <v>300</v>
      </c>
    </row>
    <row r="192" spans="1:9">
      <c r="A192" t="s">
        <v>222</v>
      </c>
      <c r="B192" s="2">
        <v>46377</v>
      </c>
      <c r="C192" t="s">
        <v>20</v>
      </c>
      <c r="D192" t="s">
        <v>30</v>
      </c>
      <c r="E192" t="s">
        <v>12</v>
      </c>
      <c r="F192" t="s">
        <v>127</v>
      </c>
      <c r="G192" s="3">
        <v>11</v>
      </c>
      <c r="H192" s="4">
        <v>1200</v>
      </c>
      <c r="I192" s="4">
        <v>13200</v>
      </c>
    </row>
    <row r="193" spans="1:9">
      <c r="A193" t="s">
        <v>223</v>
      </c>
      <c r="B193" s="2">
        <v>46380</v>
      </c>
      <c r="C193" t="s">
        <v>24</v>
      </c>
      <c r="D193" t="s">
        <v>32</v>
      </c>
      <c r="E193" t="s">
        <v>33</v>
      </c>
      <c r="F193" t="s">
        <v>129</v>
      </c>
      <c r="G193" s="3">
        <v>5</v>
      </c>
      <c r="H193" s="4">
        <v>450</v>
      </c>
      <c r="I193" s="4">
        <v>2250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A161-F08E-425A-83E1-68B97FF165C6}">
  <sheetPr>
    <tabColor theme="9" tint="-0.249977111117893"/>
  </sheetPr>
  <dimension ref="A3:H19"/>
  <sheetViews>
    <sheetView zoomScale="156" zoomScaleNormal="156" workbookViewId="0">
      <selection activeCell="X11" sqref="X11"/>
    </sheetView>
  </sheetViews>
  <sheetFormatPr defaultRowHeight="14.4"/>
  <cols>
    <col min="1" max="1" width="12.5546875" bestFit="1" customWidth="1"/>
    <col min="2" max="2" width="15.109375" bestFit="1" customWidth="1"/>
    <col min="4" max="4" width="12" bestFit="1" customWidth="1"/>
    <col min="5" max="5" width="12.5546875" bestFit="1" customWidth="1"/>
    <col min="6" max="6" width="15.109375" bestFit="1" customWidth="1"/>
    <col min="7" max="7" width="12.5546875" bestFit="1" customWidth="1"/>
    <col min="8" max="8" width="15.109375" bestFit="1" customWidth="1"/>
  </cols>
  <sheetData>
    <row r="3" spans="1:8">
      <c r="A3" t="s">
        <v>224</v>
      </c>
      <c r="D3" t="s">
        <v>225</v>
      </c>
      <c r="G3" s="7" t="s">
        <v>226</v>
      </c>
      <c r="H3" t="s">
        <v>224</v>
      </c>
    </row>
    <row r="4" spans="1:8">
      <c r="A4" s="6">
        <v>440679</v>
      </c>
      <c r="D4" s="5">
        <v>1147</v>
      </c>
      <c r="G4" s="8" t="s">
        <v>24</v>
      </c>
      <c r="H4" s="6">
        <v>121083</v>
      </c>
    </row>
    <row r="5" spans="1:8">
      <c r="G5" s="8" t="s">
        <v>20</v>
      </c>
      <c r="H5" s="6">
        <v>117067</v>
      </c>
    </row>
    <row r="6" spans="1:8">
      <c r="G6" s="8" t="s">
        <v>10</v>
      </c>
      <c r="H6" s="6">
        <v>105771</v>
      </c>
    </row>
    <row r="7" spans="1:8">
      <c r="G7" s="8" t="s">
        <v>15</v>
      </c>
      <c r="H7" s="6">
        <v>96758</v>
      </c>
    </row>
    <row r="8" spans="1:8">
      <c r="G8" s="8" t="s">
        <v>227</v>
      </c>
      <c r="H8" s="6">
        <v>440679</v>
      </c>
    </row>
    <row r="10" spans="1:8">
      <c r="A10" s="7" t="s">
        <v>226</v>
      </c>
      <c r="B10" t="s">
        <v>224</v>
      </c>
      <c r="E10" s="7" t="s">
        <v>226</v>
      </c>
      <c r="F10" t="s">
        <v>224</v>
      </c>
    </row>
    <row r="11" spans="1:8">
      <c r="A11" s="8" t="s">
        <v>30</v>
      </c>
      <c r="B11" s="6">
        <v>152640</v>
      </c>
      <c r="E11" s="8" t="s">
        <v>26</v>
      </c>
      <c r="F11" s="6">
        <v>83121.5</v>
      </c>
    </row>
    <row r="12" spans="1:8">
      <c r="A12" s="8" t="s">
        <v>25</v>
      </c>
      <c r="B12" s="6">
        <v>112515</v>
      </c>
      <c r="E12" s="8" t="s">
        <v>127</v>
      </c>
      <c r="F12" s="6">
        <v>78382.5</v>
      </c>
    </row>
    <row r="13" spans="1:8">
      <c r="A13" s="8" t="s">
        <v>32</v>
      </c>
      <c r="B13" s="6">
        <v>78412.5</v>
      </c>
      <c r="E13" s="8" t="s">
        <v>131</v>
      </c>
      <c r="F13" s="6">
        <v>69775</v>
      </c>
    </row>
    <row r="14" spans="1:8">
      <c r="A14" s="8" t="s">
        <v>11</v>
      </c>
      <c r="B14" s="6">
        <v>40965</v>
      </c>
      <c r="E14" s="8" t="s">
        <v>18</v>
      </c>
      <c r="F14" s="6">
        <v>64666</v>
      </c>
    </row>
    <row r="15" spans="1:8">
      <c r="A15" s="8" t="s">
        <v>35</v>
      </c>
      <c r="B15" s="6">
        <v>19355</v>
      </c>
      <c r="E15" s="8" t="s">
        <v>22</v>
      </c>
      <c r="F15" s="6">
        <v>38684.5</v>
      </c>
    </row>
    <row r="16" spans="1:8">
      <c r="A16" s="8" t="s">
        <v>21</v>
      </c>
      <c r="B16" s="6">
        <v>18672.5</v>
      </c>
      <c r="E16" s="8" t="s">
        <v>129</v>
      </c>
      <c r="F16" s="6">
        <v>37961.5</v>
      </c>
    </row>
    <row r="17" spans="1:6">
      <c r="A17" s="8" t="s">
        <v>16</v>
      </c>
      <c r="B17" s="6">
        <v>11435</v>
      </c>
      <c r="E17" s="8" t="s">
        <v>13</v>
      </c>
      <c r="F17" s="6">
        <v>35996</v>
      </c>
    </row>
    <row r="18" spans="1:6">
      <c r="A18" s="8" t="s">
        <v>28</v>
      </c>
      <c r="B18" s="6">
        <v>6684</v>
      </c>
      <c r="E18" s="8" t="s">
        <v>125</v>
      </c>
      <c r="F18" s="6">
        <v>32092</v>
      </c>
    </row>
    <row r="19" spans="1:6">
      <c r="A19" s="8" t="s">
        <v>227</v>
      </c>
      <c r="B19" s="6">
        <v>440679</v>
      </c>
      <c r="E19" s="8" t="s">
        <v>227</v>
      </c>
      <c r="F19" s="6">
        <v>440679</v>
      </c>
    </row>
  </sheetData>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552C-95B5-479B-B42D-3CD8074D1F59}">
  <sheetPr>
    <tabColor theme="7"/>
  </sheetPr>
  <dimension ref="A1:O5"/>
  <sheetViews>
    <sheetView showGridLines="0" tabSelected="1" zoomScale="83" zoomScaleNormal="83" workbookViewId="0">
      <selection activeCell="X17" sqref="X17"/>
    </sheetView>
  </sheetViews>
  <sheetFormatPr defaultRowHeight="14.4"/>
  <cols>
    <col min="1" max="10" width="12.77734375" customWidth="1"/>
    <col min="11" max="11" width="14.33203125" customWidth="1"/>
    <col min="12" max="15" width="12.77734375" customWidth="1"/>
  </cols>
  <sheetData>
    <row r="1" spans="1:15" ht="30" customHeight="1">
      <c r="A1" s="9" t="s">
        <v>228</v>
      </c>
      <c r="B1" s="10"/>
      <c r="C1" s="10"/>
      <c r="D1" s="10"/>
      <c r="E1" s="10"/>
      <c r="F1" s="10"/>
      <c r="G1" s="10"/>
      <c r="H1" s="10"/>
      <c r="I1" s="10"/>
      <c r="J1" s="10"/>
      <c r="K1" s="10"/>
      <c r="L1" s="10"/>
      <c r="M1" s="10"/>
      <c r="N1" s="10"/>
      <c r="O1" s="10"/>
    </row>
    <row r="2" spans="1:15" ht="15" customHeight="1"/>
    <row r="3" spans="1:15" ht="25.05" customHeight="1">
      <c r="A3" s="11" t="s">
        <v>229</v>
      </c>
      <c r="B3" s="12"/>
      <c r="C3" s="13"/>
      <c r="D3" s="11" t="s">
        <v>230</v>
      </c>
      <c r="E3" s="12"/>
      <c r="F3" s="13"/>
      <c r="G3" s="11" t="s">
        <v>231</v>
      </c>
      <c r="H3" s="12"/>
      <c r="I3" s="13"/>
      <c r="J3" s="11" t="s">
        <v>248</v>
      </c>
      <c r="K3" s="12"/>
      <c r="L3" s="13"/>
      <c r="M3" s="11" t="s">
        <v>232</v>
      </c>
      <c r="N3" s="12"/>
      <c r="O3" s="13"/>
    </row>
    <row r="4" spans="1:15" ht="25.05" customHeight="1">
      <c r="A4" s="14">
        <f>Pivot_Analysis!A4</f>
        <v>440679</v>
      </c>
      <c r="B4" s="15"/>
      <c r="C4" s="16"/>
      <c r="D4" s="28">
        <f>Pivot_Analysis!D4</f>
        <v>1147</v>
      </c>
      <c r="E4" s="27"/>
      <c r="F4" s="16"/>
      <c r="G4" s="20" t="str">
        <f>Pivot_Analysis!G4</f>
        <v>South</v>
      </c>
      <c r="H4" s="21"/>
      <c r="I4" s="22"/>
      <c r="J4" s="20" t="str">
        <f>Pivot_Analysis!A11</f>
        <v>Laptop</v>
      </c>
      <c r="K4" s="21"/>
      <c r="L4" s="22"/>
      <c r="M4" s="20" t="str">
        <f>Pivot_Analysis!E11</f>
        <v>David</v>
      </c>
      <c r="N4" s="21"/>
      <c r="O4" s="22"/>
    </row>
    <row r="5" spans="1:15" ht="25.05" customHeight="1">
      <c r="A5" s="17"/>
      <c r="B5" s="18"/>
      <c r="C5" s="19"/>
      <c r="D5" s="17"/>
      <c r="E5" s="18"/>
      <c r="F5" s="19"/>
      <c r="G5" s="29">
        <f>Pivot_Analysis!H4</f>
        <v>121083</v>
      </c>
      <c r="H5" s="23"/>
      <c r="I5" s="26"/>
      <c r="J5" s="29">
        <f>Pivot_Analysis!B11</f>
        <v>152640</v>
      </c>
      <c r="K5" s="23"/>
      <c r="L5" s="24"/>
      <c r="M5" s="29">
        <f>Pivot_Analysis!F11</f>
        <v>83121.5</v>
      </c>
      <c r="N5" s="23"/>
      <c r="O5"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Year_Month_Analysis</vt:lpstr>
      <vt:lpstr>Sales_Data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2026-09-13T12:47:17Z</dcterms:created>
  <dcterms:modified xsi:type="dcterms:W3CDTF">2026-09-14T23:59:44Z</dcterms:modified>
</cp:coreProperties>
</file>