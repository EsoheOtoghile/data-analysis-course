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DAC\"/>
    </mc:Choice>
  </mc:AlternateContent>
  <xr:revisionPtr revIDLastSave="0" documentId="8_{31FFD3C7-941C-4190-A79B-62DE4FB817AB}" xr6:coauthVersionLast="47" xr6:coauthVersionMax="47" xr10:uidLastSave="{00000000-0000-0000-0000-000000000000}"/>
  <bookViews>
    <workbookView xWindow="-108" yWindow="-108" windowWidth="23256" windowHeight="12456" xr2:uid="{857C0D6E-0A1D-471F-848D-6FF38285C272}"/>
  </bookViews>
  <sheets>
    <sheet name="XLOOKUP_Practice" sheetId="1" r:id="rId1"/>
    <sheet name="Sheet9" sheetId="10" r:id="rId2"/>
    <sheet name="HLOOKUP_Practice" sheetId="2" r:id="rId3"/>
    <sheet name="Sheet4" sheetId="5" r:id="rId4"/>
    <sheet name="Sheet8" sheetId="9" r:id="rId5"/>
    <sheet name="Pivot_Table_Practice" sheetId="3" r:id="rId6"/>
    <sheet name="Sheet10" sheetId="11" r:id="rId7"/>
    <sheet name="Sheet11" sheetId="12" r:id="rId8"/>
    <sheet name="Pivot_Grouping_Practice" sheetId="6" r:id="rId9"/>
    <sheet name="Sheet13" sheetId="14" r:id="rId10"/>
    <sheet name="Pivot_Practical_Challenge" sheetId="13" r:id="rId11"/>
  </sheets>
  <definedNames>
    <definedName name="Sales_Data">Table2[#All]</definedName>
  </definedNames>
  <calcPr calcId="191029"/>
  <pivotCaches>
    <pivotCache cacheId="35" r:id="rId12"/>
    <pivotCache cacheId="43" r:id="rId13"/>
    <pivotCache cacheId="50" r:id="rId1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2" l="1"/>
  <c r="B14" i="2"/>
  <c r="B15" i="2"/>
  <c r="B16" i="2"/>
  <c r="B12" i="2"/>
  <c r="D8" i="2"/>
  <c r="C8" i="2"/>
  <c r="B8" i="2"/>
  <c r="K34" i="1"/>
  <c r="J34" i="1"/>
  <c r="I34" i="1"/>
  <c r="K22" i="1"/>
  <c r="J22" i="1"/>
  <c r="I22" i="1"/>
  <c r="N31" i="1"/>
  <c r="I26" i="1"/>
  <c r="I27" i="1"/>
  <c r="I28" i="1"/>
  <c r="I29" i="1"/>
  <c r="I25" i="1"/>
  <c r="K18" i="1"/>
  <c r="J18" i="1"/>
  <c r="I18" i="1"/>
  <c r="I14" i="1"/>
  <c r="K7" i="1"/>
  <c r="K8" i="1"/>
  <c r="K9" i="1"/>
  <c r="K10" i="1"/>
  <c r="K6" i="1"/>
  <c r="J7" i="1"/>
  <c r="J8" i="1"/>
  <c r="J9" i="1"/>
  <c r="J10" i="1"/>
  <c r="J6" i="1"/>
  <c r="I6" i="1"/>
  <c r="I7" i="1"/>
  <c r="I8" i="1"/>
  <c r="I9" i="1"/>
  <c r="I10" i="1"/>
  <c r="K2" i="1"/>
  <c r="J2" i="1"/>
  <c r="I2" i="1"/>
</calcChain>
</file>

<file path=xl/sharedStrings.xml><?xml version="1.0" encoding="utf-8"?>
<sst xmlns="http://schemas.openxmlformats.org/spreadsheetml/2006/main" count="268" uniqueCount="100">
  <si>
    <t>Employee_ID</t>
  </si>
  <si>
    <t>Name</t>
  </si>
  <si>
    <t>Department</t>
  </si>
  <si>
    <t>E001</t>
  </si>
  <si>
    <t>Sarah Johnson</t>
  </si>
  <si>
    <t>Finance</t>
  </si>
  <si>
    <t>E002</t>
  </si>
  <si>
    <t>David Smith</t>
  </si>
  <si>
    <t>IT</t>
  </si>
  <si>
    <t>E003</t>
  </si>
  <si>
    <t>Michael Brown</t>
  </si>
  <si>
    <t>HR</t>
  </si>
  <si>
    <t>E004</t>
  </si>
  <si>
    <t>Aisha Bello</t>
  </si>
  <si>
    <t>E005</t>
  </si>
  <si>
    <t>James Wilson</t>
  </si>
  <si>
    <t>E006</t>
  </si>
  <si>
    <t>Emily Davies</t>
  </si>
  <si>
    <t>Marketing</t>
  </si>
  <si>
    <t>E007</t>
  </si>
  <si>
    <t>Daniel Thomas</t>
  </si>
  <si>
    <t>E008</t>
  </si>
  <si>
    <t>Grace Taylor</t>
  </si>
  <si>
    <t>E009</t>
  </si>
  <si>
    <t>Olivia Martin</t>
  </si>
  <si>
    <t>E010</t>
  </si>
  <si>
    <t>Henry Jones</t>
  </si>
  <si>
    <t>Salary</t>
  </si>
  <si>
    <t>Department_Result</t>
  </si>
  <si>
    <t>Salary_Result</t>
  </si>
  <si>
    <t>Name_Result</t>
  </si>
  <si>
    <t>Employee_ID_Result</t>
  </si>
  <si>
    <t>Search_Name</t>
  </si>
  <si>
    <t>Peter Adams</t>
  </si>
  <si>
    <t>Minimum_Score</t>
  </si>
  <si>
    <t>Rating</t>
  </si>
  <si>
    <t>Poor</t>
  </si>
  <si>
    <t>Needs Improvement</t>
  </si>
  <si>
    <t>Satisfactory</t>
  </si>
  <si>
    <t>Good</t>
  </si>
  <si>
    <t>Very Good</t>
  </si>
  <si>
    <t>Excellent</t>
  </si>
  <si>
    <t>Employee_Score</t>
  </si>
  <si>
    <t>Rating_Result</t>
  </si>
  <si>
    <t>E012</t>
  </si>
  <si>
    <t>Search_Employee_ID</t>
  </si>
  <si>
    <t>Row Labels</t>
  </si>
  <si>
    <t>Grand Total</t>
  </si>
  <si>
    <t>Sum of Salary</t>
  </si>
  <si>
    <t>Employment_Type</t>
  </si>
  <si>
    <t>Full-Time</t>
  </si>
  <si>
    <t>Part-Time</t>
  </si>
  <si>
    <t>Column Labels</t>
  </si>
  <si>
    <t>E011</t>
  </si>
  <si>
    <t>Sophia Green</t>
  </si>
  <si>
    <t>Date</t>
  </si>
  <si>
    <t>Sales</t>
  </si>
  <si>
    <t>Jan</t>
  </si>
  <si>
    <t>Feb</t>
  </si>
  <si>
    <t>Mar</t>
  </si>
  <si>
    <t>Apr</t>
  </si>
  <si>
    <t>May</t>
  </si>
  <si>
    <t>Jun</t>
  </si>
  <si>
    <t>Sum of Sales</t>
  </si>
  <si>
    <t>2026</t>
  </si>
  <si>
    <t>2027</t>
  </si>
  <si>
    <t>Order_ID</t>
  </si>
  <si>
    <t>Region</t>
  </si>
  <si>
    <t>Product</t>
  </si>
  <si>
    <t>Salesperson</t>
  </si>
  <si>
    <t>Units</t>
  </si>
  <si>
    <t>Revenue</t>
  </si>
  <si>
    <t>O001</t>
  </si>
  <si>
    <t>North</t>
  </si>
  <si>
    <t>Laptop</t>
  </si>
  <si>
    <t>Sarah</t>
  </si>
  <si>
    <t>O002</t>
  </si>
  <si>
    <t>South</t>
  </si>
  <si>
    <t>Monitor</t>
  </si>
  <si>
    <t>David</t>
  </si>
  <si>
    <t>O003</t>
  </si>
  <si>
    <t>East</t>
  </si>
  <si>
    <t>Michael</t>
  </si>
  <si>
    <t>O004</t>
  </si>
  <si>
    <t>West</t>
  </si>
  <si>
    <t>Keyboard</t>
  </si>
  <si>
    <t>Aisha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</si>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</sst>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£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[Excel_Pivot_Table_Practical_Challenge.xlsx]Sheet10!PivotTable3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0" i="0" u="none" strike="noStrike" baseline="0"/>
              <a:t>Monthly Sales Trend: 2026 vs 2027</a:t>
            </a:r>
            <a:endParaRPr lang="en-GB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£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£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Sheet10!$B$1:$B$2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&quot;£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Sheet10!$A$3:$A$9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Sheet10!$B$3:$B$9</c:f>
              <c:numCache>
                <c:formatCode>General</c:formatCode>
                <c:ptCount val="6"/>
                <c:pt idx="0">
                  <c:v>3000</c:v>
                </c:pt>
                <c:pt idx="1">
                  <c:v>3700</c:v>
                </c:pt>
                <c:pt idx="2">
                  <c:v>4250</c:v>
                </c:pt>
                <c:pt idx="3">
                  <c:v>4900</c:v>
                </c:pt>
                <c:pt idx="4">
                  <c:v>5400</c:v>
                </c:pt>
                <c:pt idx="5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2-46EA-9EF9-3C326864246E}"/>
            </c:ext>
          </c:extLst>
        </c:ser>
        <c:ser>
          <c:idx val="1"/>
          <c:order val="1"/>
          <c:tx>
            <c:strRef>
              <c:f>Sheet10!$C$1:$C$2</c:f>
              <c:strCache>
                <c:ptCount val="1"/>
                <c:pt idx="0">
                  <c:v>2027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&quot;£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Sheet10!$A$3:$A$9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Sheet10!$C$3:$C$9</c:f>
              <c:numCache>
                <c:formatCode>General</c:formatCode>
                <c:ptCount val="6"/>
                <c:pt idx="0">
                  <c:v>6800</c:v>
                </c:pt>
                <c:pt idx="1">
                  <c:v>7300</c:v>
                </c:pt>
                <c:pt idx="2">
                  <c:v>7900</c:v>
                </c:pt>
                <c:pt idx="3">
                  <c:v>8500</c:v>
                </c:pt>
                <c:pt idx="4">
                  <c:v>9100</c:v>
                </c:pt>
                <c:pt idx="5">
                  <c:v>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2-46EA-9EF9-3C3268642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564560"/>
        <c:axId val="479577872"/>
      </c:lineChart>
      <c:catAx>
        <c:axId val="4795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77872"/>
        <c:crosses val="autoZero"/>
        <c:auto val="1"/>
        <c:lblAlgn val="ctr"/>
        <c:lblOffset val="100"/>
        <c:noMultiLvlLbl val="0"/>
      </c:catAx>
      <c:valAx>
        <c:axId val="47957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6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[Excel_Pivot_Table_Practical_Challenge.xlsx]Sheet13!PivotTable4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Sum</a:t>
            </a:r>
            <a:r>
              <a:rPr lang="en-US" sz="1100" baseline="0"/>
              <a:t> of revenue by region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341164887483225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884630687373977"/>
          <c:y val="0.20902486270077184"/>
          <c:w val="0.57605936156199489"/>
          <c:h val="0.55030080718572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Sheet13!$A$2:$A$6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Sheet13!$B$2:$B$6</c:f>
              <c:numCache>
                <c:formatCode>"£"#,##0.00</c:formatCode>
                <c:ptCount val="4"/>
                <c:pt idx="0">
                  <c:v>12700</c:v>
                </c:pt>
                <c:pt idx="1">
                  <c:v>11700</c:v>
                </c:pt>
                <c:pt idx="2">
                  <c:v>9900</c:v>
                </c:pt>
                <c:pt idx="3">
                  <c:v>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5-4247-BE3E-B817FBA7E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580784"/>
        <c:axId val="479574544"/>
      </c:barChart>
      <c:catAx>
        <c:axId val="47958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74544"/>
        <c:crosses val="autoZero"/>
        <c:auto val="1"/>
        <c:lblAlgn val="ctr"/>
        <c:lblOffset val="100"/>
        <c:noMultiLvlLbl val="0"/>
      </c:catAx>
      <c:valAx>
        <c:axId val="4795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8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234989</xdr:colOff>
      <xdr:row>0</xdr:row>
      <xdr:rowOff>0</xdr:rowOff>
    </xdr:from>
    <xdr:to>
      <xdr:col>9</xdr:col>
      <xdr:colOff>164265</xdr:colOff>
      <xdr:row>11</xdr:row>
      <xdr:rowOff>164263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17C37D-1834-46A1-8C9D-2E32071EB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594624</xdr:colOff>
      <xdr:row>0</xdr:row>
      <xdr:rowOff>35240</xdr:rowOff>
    </xdr:from>
    <xdr:to>
      <xdr:col>5</xdr:col>
      <xdr:colOff>629861</xdr:colOff>
      <xdr:row>10</xdr:row>
      <xdr:rowOff>39642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1D21E9-458E-48D3-A3D9-80F3CE294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76.411561111112" createdVersion="7" refreshedVersion="7" minRefreshableVersion="3" recordCount="11" xr:uid="{26FE2F14-A5DC-4EB9-AAF5-1575FA8E747B}">
  <cacheSource type="worksheet">
    <worksheetSource ref="A1:E12" sheet="Pivot_Table_Practice"/>
  </cacheSource>
  <cacheFields count="5">
    <cacheField name="Employee_ID" numFmtId="0">
      <sharedItems/>
    </cacheField>
    <cacheField name="Name" numFmtId="0">
      <sharedItems/>
    </cacheField>
    <cacheField name="Department" numFmtId="0">
      <sharedItems count="4">
        <s v="Finance"/>
        <s v="IT"/>
        <s v="HR"/>
        <s v="Marketing"/>
      </sharedItems>
    </cacheField>
    <cacheField name="Salary" numFmtId="0">
      <sharedItems containsSemiMixedTypes="0" containsString="0" containsNumber="1" containsInteger="1" minValue="30000" maxValue="60000"/>
    </cacheField>
    <cacheField name="Employment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76.414450925928" createdVersion="7" refreshedVersion="7" minRefreshableVersion="3" recordCount="24" xr:uid="{3ECB069C-EB8D-4BC6-821F-192A25199233}">
  <cacheSource type="worksheet">
    <worksheetSource name="Sales_Data"/>
  </cacheSource>
  <cacheFields count="3">
    <cacheField name="Date" numFmtId="14">
      <sharedItems containsSemiMixedTypes="0" containsNonDate="0" containsDate="1" containsString="0" minDate="2026-01-05T00:00:00" maxDate="2027-06-20T00:00:00" count="24">
        <d v="2026-01-05T00:00:00"/>
        <d v="2026-01-18T00:00:00"/>
        <d v="2026-02-03T00:00:00"/>
        <d v="2026-02-21T00:00:00"/>
        <d v="2026-03-07T00:00:00"/>
        <d v="2026-03-19T00:00:00"/>
        <d v="2026-04-04T00:00:00"/>
        <d v="2026-04-22T00:00:00"/>
        <d v="2026-05-06T00:00:00"/>
        <d v="2026-05-25T00:00:00"/>
        <d v="2026-06-08T00:00:00"/>
        <d v="2026-06-20T00:00:00"/>
        <d v="2027-01-10T00:00:00"/>
        <d v="2027-01-24T00:00:00"/>
        <d v="2027-02-08T00:00:00"/>
        <d v="2027-02-20T00:00:00"/>
        <d v="2027-03-05T00:00:00"/>
        <d v="2027-03-18T00:00:00"/>
        <d v="2027-04-09T00:00:00"/>
        <d v="2027-04-23T00:00:00"/>
        <d v="2027-05-07T00:00:00"/>
        <d v="2027-05-21T00:00:00"/>
        <d v="2027-06-06T00:00:00"/>
        <d v="2027-06-19T00:00:00"/>
      </sharedItems>
      <fieldGroup par="2" base="0">
        <rangePr groupBy="months" startDate="2026-01-05T00:00:00" endDate="2027-06-20T00:00:00"/>
        <groupItems count="14">
          <s v="&lt;05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6/2027"/>
        </groupItems>
      </fieldGroup>
    </cacheField>
    <cacheField name="Sales" numFmtId="0">
      <sharedItems containsSemiMixedTypes="0" containsString="0" containsNumber="1" containsInteger="1" minValue="1200" maxValue="5100"/>
    </cacheField>
    <cacheField name="Years" numFmtId="0" databaseField="0">
      <fieldGroup base="0">
        <rangePr groupBy="years" startDate="2026-01-05T00:00:00" endDate="2027-06-20T00:00:00"/>
        <groupItems count="4">
          <s v="&lt;05/01/2026"/>
          <s v="2026"/>
          <s v="2027"/>
          <s v="&gt;20/06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77.427436921294" createdVersion="7" refreshedVersion="7" minRefreshableVersion="3" recordCount="16" xr:uid="{6451948F-960F-4DE3-A360-D315D954ABD7}">
  <cacheSource type="worksheet">
    <worksheetSource name="Sales_Orders"/>
  </cacheSource>
  <cacheFields count="8">
    <cacheField name="Order_ID" numFmtId="0">
      <sharedItems/>
    </cacheField>
    <cacheField name="Date" numFmtId="14">
      <sharedItems containsSemiMixedTypes="0" containsNonDate="0" containsDate="1" containsString="0" minDate="2026-01-08T00:00:00" maxDate="2026-08-28T00:00:00" count="16">
        <d v="2026-01-08T00:00:00"/>
        <d v="2026-01-15T00:00:00"/>
        <d v="2026-02-04T00:00:00"/>
        <d v="2026-02-18T00:00:00"/>
        <d v="2026-03-06T00:00:00"/>
        <d v="2026-03-22T00:00:00"/>
        <d v="2026-04-09T00:00:00"/>
        <d v="2026-04-24T00:00:00"/>
        <d v="2026-05-11T00:00:00"/>
        <d v="2026-05-26T00:00:00"/>
        <d v="2026-06-07T00:00:00"/>
        <d v="2026-06-21T00:00:00"/>
        <d v="2026-07-10T00:00:00"/>
        <d v="2026-07-23T00:00:00"/>
        <d v="2026-08-12T00:00:00"/>
        <d v="2026-08-27T00:00:00"/>
      </sharedItems>
      <fieldGroup par="7" base="1">
        <rangePr groupBy="days" startDate="2026-01-08T00:00:00" endDate="2026-08-28T00:00:00"/>
        <groupItems count="368">
          <s v="&lt;08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/08/2026"/>
        </groupItems>
      </fieldGroup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Laptop"/>
        <s v="Monitor"/>
        <s v="Keyboard"/>
      </sharedItems>
    </cacheField>
    <cacheField name="Salesperson" numFmtId="0">
      <sharedItems count="4">
        <s v="Sarah"/>
        <s v="David"/>
        <s v="Michael"/>
        <s v="Aisha"/>
      </sharedItems>
    </cacheField>
    <cacheField name="Units" numFmtId="0">
      <sharedItems containsSemiMixedTypes="0" containsString="0" containsNumber="1" containsInteger="1" minValue="2" maxValue="12"/>
    </cacheField>
    <cacheField name="Revenue" numFmtId="0">
      <sharedItems containsSemiMixedTypes="0" containsString="0" containsNumber="1" containsInteger="1" minValue="800" maxValue="7200" count="13">
        <n v="3600"/>
        <n v="1500"/>
        <n v="2400"/>
        <n v="800"/>
        <n v="1200"/>
        <n v="4800"/>
        <n v="1000"/>
        <n v="1800"/>
        <n v="6000"/>
        <n v="2100"/>
        <n v="900"/>
        <n v="7200"/>
        <n v="1100"/>
      </sharedItems>
    </cacheField>
    <cacheField name="Months" numFmtId="0" databaseField="0">
      <fieldGroup base="1">
        <rangePr groupBy="months" startDate="2026-01-08T00:00:00" endDate="2026-08-28T00:00:00"/>
        <groupItems count="14">
          <s v="&lt;08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E001"/>
    <s v="Sarah Johnson"/>
    <x v="0"/>
    <n v="32000"/>
    <s v="Full-Time"/>
  </r>
  <r>
    <s v="E002"/>
    <s v="David Smith"/>
    <x v="1"/>
    <n v="45000"/>
    <s v="Full-Time"/>
  </r>
  <r>
    <s v="E003"/>
    <s v="Michael Brown"/>
    <x v="2"/>
    <n v="39000"/>
    <s v="Part-Time"/>
  </r>
  <r>
    <s v="E004"/>
    <s v="Aisha Bello"/>
    <x v="0"/>
    <n v="36000"/>
    <s v="Full-Time"/>
  </r>
  <r>
    <s v="E005"/>
    <s v="James Wilson"/>
    <x v="1"/>
    <n v="30000"/>
    <s v="Part-Time"/>
  </r>
  <r>
    <s v="E006"/>
    <s v="Emily Davies"/>
    <x v="3"/>
    <n v="41000"/>
    <s v="Full-Time"/>
  </r>
  <r>
    <s v="E007"/>
    <s v="Daniel Thomas"/>
    <x v="1"/>
    <n v="60000"/>
    <s v="Full-Time"/>
  </r>
  <r>
    <s v="E008"/>
    <s v="Grace Taylor"/>
    <x v="3"/>
    <n v="34000"/>
    <s v="Part-Time"/>
  </r>
  <r>
    <s v="E009"/>
    <s v="Olivia Martin"/>
    <x v="0"/>
    <n v="55000"/>
    <s v="Full-Time"/>
  </r>
  <r>
    <s v="E010"/>
    <s v="Henry Jones"/>
    <x v="2"/>
    <n v="40000"/>
    <s v="Part-Time"/>
  </r>
  <r>
    <s v="E011"/>
    <s v="Sophia Green"/>
    <x v="3"/>
    <n v="46000"/>
    <s v="Full-Tim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1200"/>
  </r>
  <r>
    <x v="1"/>
    <n v="1800"/>
  </r>
  <r>
    <x v="2"/>
    <n v="1500"/>
  </r>
  <r>
    <x v="3"/>
    <n v="2200"/>
  </r>
  <r>
    <x v="4"/>
    <n v="1750"/>
  </r>
  <r>
    <x v="5"/>
    <n v="2500"/>
  </r>
  <r>
    <x v="6"/>
    <n v="2100"/>
  </r>
  <r>
    <x v="7"/>
    <n v="2800"/>
  </r>
  <r>
    <x v="8"/>
    <n v="2300"/>
  </r>
  <r>
    <x v="9"/>
    <n v="3100"/>
  </r>
  <r>
    <x v="10"/>
    <n v="2600"/>
  </r>
  <r>
    <x v="11"/>
    <n v="3400"/>
  </r>
  <r>
    <x v="12"/>
    <n v="3200"/>
  </r>
  <r>
    <x v="13"/>
    <n v="3600"/>
  </r>
  <r>
    <x v="14"/>
    <n v="3400"/>
  </r>
  <r>
    <x v="15"/>
    <n v="3900"/>
  </r>
  <r>
    <x v="16"/>
    <n v="3700"/>
  </r>
  <r>
    <x v="17"/>
    <n v="4200"/>
  </r>
  <r>
    <x v="18"/>
    <n v="4000"/>
  </r>
  <r>
    <x v="19"/>
    <n v="4500"/>
  </r>
  <r>
    <x v="20"/>
    <n v="4300"/>
  </r>
  <r>
    <x v="21"/>
    <n v="4800"/>
  </r>
  <r>
    <x v="22"/>
    <n v="4600"/>
  </r>
  <r>
    <x v="23"/>
    <n v="51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O001"/>
    <x v="0"/>
    <x v="0"/>
    <x v="0"/>
    <x v="0"/>
    <n v="3"/>
    <x v="0"/>
  </r>
  <r>
    <s v="O002"/>
    <x v="1"/>
    <x v="1"/>
    <x v="1"/>
    <x v="1"/>
    <n v="5"/>
    <x v="1"/>
  </r>
  <r>
    <s v="O003"/>
    <x v="2"/>
    <x v="2"/>
    <x v="0"/>
    <x v="2"/>
    <n v="2"/>
    <x v="2"/>
  </r>
  <r>
    <s v="O004"/>
    <x v="3"/>
    <x v="3"/>
    <x v="2"/>
    <x v="3"/>
    <n v="8"/>
    <x v="3"/>
  </r>
  <r>
    <s v="O005"/>
    <x v="4"/>
    <x v="0"/>
    <x v="1"/>
    <x v="0"/>
    <n v="4"/>
    <x v="4"/>
  </r>
  <r>
    <s v="O006"/>
    <x v="5"/>
    <x v="1"/>
    <x v="0"/>
    <x v="1"/>
    <n v="4"/>
    <x v="5"/>
  </r>
  <r>
    <s v="O007"/>
    <x v="6"/>
    <x v="2"/>
    <x v="2"/>
    <x v="2"/>
    <n v="10"/>
    <x v="6"/>
  </r>
  <r>
    <s v="O008"/>
    <x v="7"/>
    <x v="3"/>
    <x v="1"/>
    <x v="3"/>
    <n v="6"/>
    <x v="7"/>
  </r>
  <r>
    <s v="O009"/>
    <x v="8"/>
    <x v="0"/>
    <x v="0"/>
    <x v="0"/>
    <n v="5"/>
    <x v="8"/>
  </r>
  <r>
    <s v="O010"/>
    <x v="9"/>
    <x v="1"/>
    <x v="2"/>
    <x v="1"/>
    <n v="12"/>
    <x v="4"/>
  </r>
  <r>
    <s v="O011"/>
    <x v="10"/>
    <x v="2"/>
    <x v="1"/>
    <x v="2"/>
    <n v="7"/>
    <x v="9"/>
  </r>
  <r>
    <s v="O012"/>
    <x v="11"/>
    <x v="3"/>
    <x v="0"/>
    <x v="3"/>
    <n v="3"/>
    <x v="0"/>
  </r>
  <r>
    <s v="O013"/>
    <x v="12"/>
    <x v="0"/>
    <x v="2"/>
    <x v="0"/>
    <n v="9"/>
    <x v="10"/>
  </r>
  <r>
    <s v="O014"/>
    <x v="13"/>
    <x v="1"/>
    <x v="1"/>
    <x v="1"/>
    <n v="8"/>
    <x v="2"/>
  </r>
  <r>
    <s v="O015"/>
    <x v="14"/>
    <x v="2"/>
    <x v="0"/>
    <x v="2"/>
    <n v="6"/>
    <x v="11"/>
  </r>
  <r>
    <s v="O016"/>
    <x v="15"/>
    <x v="3"/>
    <x v="2"/>
    <x v="3"/>
    <n v="11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7CD86-9A7E-472D-9FED-FE364DC94E62}" name="PivotTable2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5">
    <pivotField showAll="0"/>
    <pivotField showAll="0"/>
    <pivotField axis="axisRow" showAll="0" measureFilter="1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2"/>
  </rowFields>
  <rowItems count="4">
    <i>
      <x v="2"/>
    </i>
    <i>
      <x/>
    </i>
    <i>
      <x v="3"/>
    </i>
    <i t="grand">
      <x/>
    </i>
  </rowItems>
  <colItems count="1">
    <i/>
  </colItems>
  <dataFields count="1">
    <dataField name="Sum of Salary" fld="3" baseField="0" baseItem="0"/>
  </dataFields>
  <pivotTableStyleInfo name="PivotStyleLight16" showRowHeaders="1" showColHeaders="1" showRowStripes="0" showColStripes="0" showLastColumn="1"/>
  <filters count="1">
    <filter fld="2" type="valueGreaterThan" evalOrder="-1" id="2" iMeasureFld="0">
      <autoFilter ref="A1">
        <filterColumn colId="0">
          <customFilters>
            <customFilter operator="greaterThan" val="8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AA234-3BE8-4A4D-9F27-9E38A26F9667}" name="PivotTable3" cacheId="4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1:D9" firstHeaderRow="1" firstDataRow="2" firstDataCol="1"/>
  <pivotFields count="3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Col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 v="1"/>
    </i>
    <i>
      <x v="2"/>
    </i>
    <i t="grand">
      <x/>
    </i>
  </colItems>
  <dataFields count="1">
    <dataField name="Sum of Sales" fld="1" baseField="0" baseItem="0"/>
  </dataFields>
  <chartFormats count="2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AB322-3523-464A-B71B-96817C387BD3}" name="PivotTable4" cacheId="5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1:B6" firstHeaderRow="1" firstDataRow="1" firstDataCol="1"/>
  <pivotFields count="8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14">
        <item x="3"/>
        <item x="10"/>
        <item x="6"/>
        <item x="12"/>
        <item x="4"/>
        <item x="1"/>
        <item x="7"/>
        <item x="9"/>
        <item x="2"/>
        <item x="0"/>
        <item x="5"/>
        <item x="8"/>
        <item x="1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2" baseItem="1" numFmtId="16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A83DA-C3C2-4D7D-8B49-F996BD8A947B}" name="Employee_Data" displayName="Employee_Data" ref="A1:E12" totalsRowShown="0" headerRowDxfId="12" dataDxfId="13">
  <autoFilter ref="A1:E12" xr:uid="{7F9A83DA-C3C2-4D7D-8B49-F996BD8A947B}"/>
  <tableColumns count="5">
    <tableColumn id="1" xr3:uid="{49EDC38A-0205-43F5-A4BF-970CD4D20253}" name="Employee_ID" dataDxfId="17"/>
    <tableColumn id="2" xr3:uid="{1117EEE8-08BE-4D82-A46A-D3895BC742D2}" name="Name" dataDxfId="16"/>
    <tableColumn id="3" xr3:uid="{E88E2BC8-415B-466E-BA03-AEA07D9E0181}" name="Department" dataDxfId="15"/>
    <tableColumn id="4" xr3:uid="{01E0CAD3-850D-40DA-850E-BF1A1C14E7AE}" name="Salary" dataDxfId="14"/>
    <tableColumn id="5" xr3:uid="{CCB9D692-8832-4AF6-98A2-198C060826EB}" name="Employment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57A708-4158-496F-86CC-0E0CA54DB656}" name="Table2" displayName="Table2" ref="A1:B25" totalsRowShown="0" headerRowDxfId="9">
  <autoFilter ref="A1:B25" xr:uid="{E257A708-4158-496F-86CC-0E0CA54DB656}"/>
  <tableColumns count="2">
    <tableColumn id="1" xr3:uid="{8B773FBD-E399-4086-AA3E-D080D360D432}" name="Date" dataDxfId="11"/>
    <tableColumn id="2" xr3:uid="{1E9B25C1-6D92-4728-B810-86C62C31B44A}" name="Sales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83951A-2BD2-423C-ADDB-E307D5C4096C}" name="Sales_Orders" displayName="Sales_Orders" ref="A1:G17" totalsRowShown="0" headerRowDxfId="0" dataDxfId="1">
  <autoFilter ref="A1:G17" xr:uid="{6283951A-2BD2-423C-ADDB-E307D5C4096C}"/>
  <tableColumns count="7">
    <tableColumn id="1" xr3:uid="{9A7BA3D5-7802-4A81-A204-1391232D9B44}" name="Order_ID" dataDxfId="8"/>
    <tableColumn id="2" xr3:uid="{C8636D36-54DB-496C-BEF9-539C86F4CB80}" name="Date" dataDxfId="7"/>
    <tableColumn id="3" xr3:uid="{923C790F-FB08-4792-A36E-1280DB8008B5}" name="Region" dataDxfId="6"/>
    <tableColumn id="4" xr3:uid="{653B1AB9-3CEB-4289-ACEF-2496A506EF2B}" name="Product" dataDxfId="5"/>
    <tableColumn id="5" xr3:uid="{62CB118E-940C-46B7-8870-10D08EF2471C}" name="Salesperson" dataDxfId="4"/>
    <tableColumn id="6" xr3:uid="{9BD403A5-E8FB-433B-8616-D1570B046E9E}" name="Units" dataDxfId="3"/>
    <tableColumn id="7" xr3:uid="{5DF11266-D024-4838-90C8-7F4C959645B6}" name="Reven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CBCE-946D-41B0-9B92-3E98E3E615B4}">
  <dimension ref="A1:N34"/>
  <sheetViews>
    <sheetView tabSelected="1" zoomScale="156" zoomScaleNormal="156" workbookViewId="0"/>
  </sheetViews>
  <sheetFormatPr defaultRowHeight="14.4"/>
  <cols>
    <col min="1" max="1" width="14.5546875" customWidth="1"/>
    <col min="3" max="3" width="13.109375" customWidth="1"/>
    <col min="5" max="5" width="12.88671875" customWidth="1"/>
    <col min="8" max="8" width="17.21875" customWidth="1"/>
    <col min="9" max="9" width="20.6640625" customWidth="1"/>
    <col min="10" max="10" width="18.5546875" customWidth="1"/>
    <col min="11" max="11" width="27.21875" customWidth="1"/>
    <col min="13" max="13" width="17.88671875" customWidth="1"/>
    <col min="14" max="14" width="18.6640625" customWidth="1"/>
  </cols>
  <sheetData>
    <row r="1" spans="1:11" ht="26.4" customHeight="1">
      <c r="A1" s="3" t="s">
        <v>0</v>
      </c>
      <c r="B1" s="3" t="s">
        <v>1</v>
      </c>
      <c r="C1" s="3" t="s">
        <v>2</v>
      </c>
      <c r="E1" s="3" t="s">
        <v>0</v>
      </c>
      <c r="F1" s="3" t="s">
        <v>27</v>
      </c>
      <c r="H1" s="2" t="s">
        <v>0</v>
      </c>
      <c r="I1" s="2" t="s">
        <v>29</v>
      </c>
      <c r="J1" s="2" t="s">
        <v>28</v>
      </c>
      <c r="K1" s="2" t="s">
        <v>30</v>
      </c>
    </row>
    <row r="2" spans="1:11" ht="28.8">
      <c r="A2" s="1" t="s">
        <v>3</v>
      </c>
      <c r="B2" s="1" t="s">
        <v>4</v>
      </c>
      <c r="C2" s="1" t="s">
        <v>5</v>
      </c>
      <c r="E2" s="1" t="s">
        <v>3</v>
      </c>
      <c r="F2" s="1">
        <v>32000</v>
      </c>
      <c r="H2" t="s">
        <v>16</v>
      </c>
      <c r="I2">
        <f>_xlfn.XLOOKUP(H2,E2:E11,F2:F11,"Employee Not Found")</f>
        <v>41000</v>
      </c>
      <c r="J2" t="str">
        <f>_xlfn.XLOOKUP(H2,A2:A11,C2:C11,"Employee Not Found")</f>
        <v>Marketing</v>
      </c>
      <c r="K2" t="str">
        <f>_xlfn.XLOOKUP(H2,A2:A11,B2:B11,"Employee Not Found")</f>
        <v>Emily Davies</v>
      </c>
    </row>
    <row r="3" spans="1:11" ht="28.8">
      <c r="A3" s="1" t="s">
        <v>6</v>
      </c>
      <c r="B3" s="1" t="s">
        <v>7</v>
      </c>
      <c r="C3" s="1" t="s">
        <v>8</v>
      </c>
      <c r="E3" s="1" t="s">
        <v>6</v>
      </c>
      <c r="F3" s="1">
        <v>45000</v>
      </c>
    </row>
    <row r="4" spans="1:11" ht="28.8">
      <c r="A4" s="1" t="s">
        <v>9</v>
      </c>
      <c r="B4" s="1" t="s">
        <v>10</v>
      </c>
      <c r="C4" s="1" t="s">
        <v>11</v>
      </c>
      <c r="E4" s="1" t="s">
        <v>9</v>
      </c>
      <c r="F4" s="1">
        <v>39000</v>
      </c>
    </row>
    <row r="5" spans="1:11" ht="28.8">
      <c r="A5" s="1" t="s">
        <v>12</v>
      </c>
      <c r="B5" s="1" t="s">
        <v>13</v>
      </c>
      <c r="C5" s="1" t="s">
        <v>5</v>
      </c>
      <c r="E5" s="1" t="s">
        <v>12</v>
      </c>
      <c r="F5" s="1">
        <v>36000</v>
      </c>
      <c r="H5" t="s">
        <v>0</v>
      </c>
      <c r="I5" t="s">
        <v>27</v>
      </c>
    </row>
    <row r="6" spans="1:11" ht="28.8">
      <c r="A6" s="1" t="s">
        <v>14</v>
      </c>
      <c r="B6" s="1" t="s">
        <v>15</v>
      </c>
      <c r="C6" s="1" t="s">
        <v>8</v>
      </c>
      <c r="E6" s="1" t="s">
        <v>14</v>
      </c>
      <c r="F6" s="1">
        <v>30000</v>
      </c>
      <c r="H6" s="1" t="s">
        <v>3</v>
      </c>
      <c r="I6">
        <f>_xlfn.XLOOKUP(H6,$E$2:$E$11,$F$2:$F$11)</f>
        <v>32000</v>
      </c>
      <c r="J6" t="str">
        <f>_xlfn.XLOOKUP(H6,$A$2:$A$11,$C$2:$C$11)</f>
        <v>Finance</v>
      </c>
      <c r="K6" t="str">
        <f>_xlfn.XLOOKUP(H6,$A$2:$A$11,$B$2:$B$11)</f>
        <v>Sarah Johnson</v>
      </c>
    </row>
    <row r="7" spans="1:11" ht="28.8">
      <c r="A7" s="1" t="s">
        <v>16</v>
      </c>
      <c r="B7" s="1" t="s">
        <v>17</v>
      </c>
      <c r="C7" s="1" t="s">
        <v>18</v>
      </c>
      <c r="E7" s="1" t="s">
        <v>16</v>
      </c>
      <c r="F7" s="1">
        <v>41000</v>
      </c>
      <c r="H7" s="4" t="s">
        <v>12</v>
      </c>
      <c r="I7">
        <f t="shared" ref="I7:I10" si="0">_xlfn.XLOOKUP(H7,$E$2:$E$11,$F$2:$F$11)</f>
        <v>36000</v>
      </c>
      <c r="J7" t="str">
        <f t="shared" ref="J7:J10" si="1">_xlfn.XLOOKUP(H7,$A$2:$A$11,$C$2:$C$11)</f>
        <v>Finance</v>
      </c>
      <c r="K7" t="str">
        <f t="shared" ref="K7:K10" si="2">_xlfn.XLOOKUP(H7,$A$2:$A$11,$B$2:$B$11)</f>
        <v>Aisha Bello</v>
      </c>
    </row>
    <row r="8" spans="1:11" ht="28.8">
      <c r="A8" s="1" t="s">
        <v>19</v>
      </c>
      <c r="B8" s="1" t="s">
        <v>20</v>
      </c>
      <c r="C8" s="1" t="s">
        <v>8</v>
      </c>
      <c r="E8" s="1" t="s">
        <v>19</v>
      </c>
      <c r="F8" s="1">
        <v>52000</v>
      </c>
      <c r="H8" s="4" t="s">
        <v>19</v>
      </c>
      <c r="I8">
        <f t="shared" si="0"/>
        <v>52000</v>
      </c>
      <c r="J8" t="str">
        <f t="shared" si="1"/>
        <v>IT</v>
      </c>
      <c r="K8" t="str">
        <f t="shared" si="2"/>
        <v>Daniel Thomas</v>
      </c>
    </row>
    <row r="9" spans="1:11" ht="28.8">
      <c r="A9" s="1" t="s">
        <v>21</v>
      </c>
      <c r="B9" s="1" t="s">
        <v>22</v>
      </c>
      <c r="C9" s="1" t="s">
        <v>18</v>
      </c>
      <c r="E9" s="1" t="s">
        <v>21</v>
      </c>
      <c r="F9" s="1">
        <v>34000</v>
      </c>
      <c r="H9" s="4" t="s">
        <v>23</v>
      </c>
      <c r="I9">
        <f t="shared" si="0"/>
        <v>55000</v>
      </c>
      <c r="J9" t="str">
        <f t="shared" si="1"/>
        <v>Finance</v>
      </c>
      <c r="K9" t="str">
        <f t="shared" si="2"/>
        <v>Olivia Martin</v>
      </c>
    </row>
    <row r="10" spans="1:11" ht="28.8">
      <c r="A10" s="1" t="s">
        <v>23</v>
      </c>
      <c r="B10" s="1" t="s">
        <v>24</v>
      </c>
      <c r="C10" s="1" t="s">
        <v>5</v>
      </c>
      <c r="E10" s="1" t="s">
        <v>23</v>
      </c>
      <c r="F10" s="1">
        <v>55000</v>
      </c>
      <c r="H10" s="4" t="s">
        <v>9</v>
      </c>
      <c r="I10">
        <f t="shared" si="0"/>
        <v>39000</v>
      </c>
      <c r="J10" t="str">
        <f t="shared" si="1"/>
        <v>HR</v>
      </c>
      <c r="K10" t="str">
        <f t="shared" si="2"/>
        <v>Michael Brown</v>
      </c>
    </row>
    <row r="11" spans="1:11" ht="28.8">
      <c r="A11" s="1" t="s">
        <v>25</v>
      </c>
      <c r="B11" s="1" t="s">
        <v>26</v>
      </c>
      <c r="C11" s="1" t="s">
        <v>11</v>
      </c>
      <c r="E11" s="1" t="s">
        <v>25</v>
      </c>
      <c r="F11" s="1">
        <v>40000</v>
      </c>
    </row>
    <row r="13" spans="1:11">
      <c r="H13" s="2" t="s">
        <v>32</v>
      </c>
      <c r="I13" s="2" t="s">
        <v>31</v>
      </c>
    </row>
    <row r="14" spans="1:11">
      <c r="H14" t="s">
        <v>33</v>
      </c>
      <c r="I14" t="str">
        <f>_xlfn.XLOOKUP($H$14,$B$2:$B$11,$A$2:$A$11,"Name Not Found")</f>
        <v>Name Not Found</v>
      </c>
    </row>
    <row r="17" spans="8:14">
      <c r="H17" t="s">
        <v>0</v>
      </c>
      <c r="I17" t="s">
        <v>1</v>
      </c>
      <c r="J17" t="s">
        <v>2</v>
      </c>
      <c r="K17" t="s">
        <v>27</v>
      </c>
    </row>
    <row r="18" spans="8:14">
      <c r="H18" t="s">
        <v>25</v>
      </c>
      <c r="I18" t="str">
        <f>_xlfn.XLOOKUP(H18,A2:A11,B2:B11,"Employee Not Found")</f>
        <v>Henry Jones</v>
      </c>
      <c r="J18" t="str">
        <f>_xlfn.XLOOKUP(H18,A2:A11,C2:C11,"Employee Not Found")</f>
        <v>HR</v>
      </c>
      <c r="K18">
        <f>_xlfn.XLOOKUP(H18,E2:E11,F2:F11,"Employee Not Found")</f>
        <v>40000</v>
      </c>
    </row>
    <row r="21" spans="8:14">
      <c r="H21" t="s">
        <v>0</v>
      </c>
      <c r="I21" t="s">
        <v>30</v>
      </c>
      <c r="K21" t="s">
        <v>29</v>
      </c>
      <c r="M21" t="s">
        <v>34</v>
      </c>
      <c r="N21" t="s">
        <v>35</v>
      </c>
    </row>
    <row r="22" spans="8:14">
      <c r="H22" t="s">
        <v>19</v>
      </c>
      <c r="I22" t="str">
        <f>IFERROR(VLOOKUP(H22,A2:C11,2,FALSE),"Employee Not Found")</f>
        <v>Daniel Thomas</v>
      </c>
      <c r="J22" t="str">
        <f>IFERROR(VLOOKUP(H22,A2:C11,3,FALSE),"Employee Not Found")</f>
        <v>IT</v>
      </c>
      <c r="K22">
        <f>IFERROR(VLOOKUP(H22,E2:F11,2,FALSE),"Employee Not Found")</f>
        <v>52000</v>
      </c>
      <c r="M22" s="1">
        <v>0</v>
      </c>
      <c r="N22" s="1" t="s">
        <v>36</v>
      </c>
    </row>
    <row r="23" spans="8:14">
      <c r="M23" s="1">
        <v>50</v>
      </c>
      <c r="N23" s="1" t="s">
        <v>37</v>
      </c>
    </row>
    <row r="24" spans="8:14">
      <c r="M24" s="1">
        <v>60</v>
      </c>
      <c r="N24" s="1" t="s">
        <v>38</v>
      </c>
    </row>
    <row r="25" spans="8:14">
      <c r="H25" t="s">
        <v>6</v>
      </c>
      <c r="I25" t="str">
        <f>VLOOKUP(H25,$A$2:$C$11,3,FALSE)</f>
        <v>IT</v>
      </c>
      <c r="M25" s="1">
        <v>70</v>
      </c>
      <c r="N25" s="1" t="s">
        <v>39</v>
      </c>
    </row>
    <row r="26" spans="8:14">
      <c r="H26" t="s">
        <v>14</v>
      </c>
      <c r="I26" t="str">
        <f t="shared" ref="I26:I29" si="3">VLOOKUP(H26,$A$2:$C$11,3,FALSE)</f>
        <v>IT</v>
      </c>
      <c r="M26" s="1">
        <v>80</v>
      </c>
      <c r="N26" s="1" t="s">
        <v>40</v>
      </c>
    </row>
    <row r="27" spans="8:14">
      <c r="H27" t="s">
        <v>21</v>
      </c>
      <c r="I27" t="str">
        <f t="shared" si="3"/>
        <v>Marketing</v>
      </c>
      <c r="M27" s="1">
        <v>90</v>
      </c>
      <c r="N27" s="1" t="s">
        <v>41</v>
      </c>
    </row>
    <row r="28" spans="8:14">
      <c r="H28" t="s">
        <v>25</v>
      </c>
      <c r="I28" t="str">
        <f t="shared" si="3"/>
        <v>HR</v>
      </c>
    </row>
    <row r="29" spans="8:14">
      <c r="H29" t="s">
        <v>9</v>
      </c>
      <c r="I29" t="str">
        <f t="shared" si="3"/>
        <v>HR</v>
      </c>
    </row>
    <row r="30" spans="8:14">
      <c r="M30" s="5" t="s">
        <v>42</v>
      </c>
      <c r="N30" t="s">
        <v>43</v>
      </c>
    </row>
    <row r="31" spans="8:14">
      <c r="M31">
        <v>87</v>
      </c>
      <c r="N31" t="str">
        <f>VLOOKUP(M31,$M$22:$N$27,2,TRUE)</f>
        <v>Very Good</v>
      </c>
    </row>
    <row r="32" spans="8:14">
      <c r="M32" s="5"/>
    </row>
    <row r="33" spans="8:11">
      <c r="H33" t="s">
        <v>0</v>
      </c>
      <c r="I33" s="1" t="s">
        <v>1</v>
      </c>
      <c r="J33" t="s">
        <v>2</v>
      </c>
      <c r="K33" t="s">
        <v>27</v>
      </c>
    </row>
    <row r="34" spans="8:11">
      <c r="H34" t="s">
        <v>44</v>
      </c>
      <c r="I34" t="str">
        <f>IFERROR(VLOOKUP(H34,A2:C11,2,FALSE),"Employee Not Found")</f>
        <v>Employee Not Found</v>
      </c>
      <c r="J34" t="str">
        <f>IFERROR(VLOOKUP(H34,A2:C11,3,FALSE),"Employee Not Found")</f>
        <v>Employee Not Found</v>
      </c>
      <c r="K34" t="str">
        <f>IFERROR(VLOOKUP(H34,E2:F11,2,FALSE),"Employee Not Found")</f>
        <v>Employee Not Found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139B-2988-4622-8827-5CF04FF1F501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4778-7FD1-49D4-8EA5-D36163E15545}">
  <sheetPr>
    <tabColor rgb="FF002060"/>
  </sheetPr>
  <dimension ref="A1:F16"/>
  <sheetViews>
    <sheetView topLeftCell="A7" zoomScale="167" zoomScaleNormal="167" workbookViewId="0">
      <selection activeCell="G14" sqref="G14"/>
    </sheetView>
  </sheetViews>
  <sheetFormatPr defaultRowHeight="14.4"/>
  <cols>
    <col min="1" max="1" width="18.44140625" customWidth="1"/>
    <col min="2" max="2" width="14.109375" customWidth="1"/>
    <col min="3" max="3" width="17.88671875" customWidth="1"/>
    <col min="4" max="4" width="13.88671875" customWidth="1"/>
    <col min="5" max="5" width="10.21875" customWidth="1"/>
    <col min="6" max="6" width="12.77734375" customWidth="1"/>
  </cols>
  <sheetData>
    <row r="1" spans="1:6">
      <c r="A1" s="1" t="s">
        <v>0</v>
      </c>
      <c r="B1" t="s">
        <v>3</v>
      </c>
      <c r="C1" t="s">
        <v>6</v>
      </c>
      <c r="D1" t="s">
        <v>9</v>
      </c>
      <c r="E1" t="s">
        <v>12</v>
      </c>
      <c r="F1" t="s">
        <v>14</v>
      </c>
    </row>
    <row r="2" spans="1:6">
      <c r="A2" s="1" t="s">
        <v>1</v>
      </c>
      <c r="B2" t="s">
        <v>4</v>
      </c>
      <c r="C2" t="s">
        <v>7</v>
      </c>
      <c r="D2" t="s">
        <v>10</v>
      </c>
      <c r="E2" t="s">
        <v>13</v>
      </c>
      <c r="F2" t="s">
        <v>15</v>
      </c>
    </row>
    <row r="3" spans="1:6">
      <c r="A3" s="1" t="s">
        <v>2</v>
      </c>
      <c r="B3" t="s">
        <v>5</v>
      </c>
      <c r="C3" t="s">
        <v>8</v>
      </c>
      <c r="D3" t="s">
        <v>11</v>
      </c>
      <c r="E3" t="s">
        <v>5</v>
      </c>
      <c r="F3" t="s">
        <v>8</v>
      </c>
    </row>
    <row r="4" spans="1:6">
      <c r="A4" s="1" t="s">
        <v>27</v>
      </c>
      <c r="B4">
        <v>32000</v>
      </c>
      <c r="C4">
        <v>49000</v>
      </c>
      <c r="D4">
        <v>39000</v>
      </c>
      <c r="E4">
        <v>36000</v>
      </c>
      <c r="F4">
        <v>30000</v>
      </c>
    </row>
    <row r="5" spans="1:6">
      <c r="A5" s="1"/>
    </row>
    <row r="6" spans="1:6">
      <c r="A6" s="1"/>
    </row>
    <row r="7" spans="1:6">
      <c r="A7" s="2" t="s">
        <v>45</v>
      </c>
      <c r="B7" s="2" t="s">
        <v>30</v>
      </c>
      <c r="C7" s="2" t="s">
        <v>28</v>
      </c>
      <c r="D7" s="2" t="s">
        <v>27</v>
      </c>
    </row>
    <row r="8" spans="1:6">
      <c r="A8" t="s">
        <v>14</v>
      </c>
      <c r="B8" t="str">
        <f>IFERROR(HLOOKUP(A8,B1:F2,2,FALSE),"Employee Not Found")</f>
        <v>James Wilson</v>
      </c>
      <c r="C8" t="str">
        <f>IFERROR(HLOOKUP(A8,B1:F3,3,FALSE),"Employee Not Found")</f>
        <v>IT</v>
      </c>
      <c r="D8">
        <f>IFERROR(HLOOKUP(A8,B1:F4,4,FALSE),"Employee Not Found")</f>
        <v>30000</v>
      </c>
    </row>
    <row r="11" spans="1:6">
      <c r="A11" t="s">
        <v>0</v>
      </c>
      <c r="B11" t="s">
        <v>30</v>
      </c>
    </row>
    <row r="12" spans="1:6">
      <c r="A12" t="s">
        <v>3</v>
      </c>
      <c r="B12" t="str">
        <f>HLOOKUP(A12,$B$1:$F$2,2,FALSE)</f>
        <v>Sarah Johnson</v>
      </c>
    </row>
    <row r="13" spans="1:6">
      <c r="A13" t="s">
        <v>9</v>
      </c>
      <c r="B13" t="str">
        <f t="shared" ref="B13:B16" si="0">HLOOKUP(A13,$B$1:$F$2,2,FALSE)</f>
        <v>Michael Brown</v>
      </c>
    </row>
    <row r="14" spans="1:6">
      <c r="A14" t="s">
        <v>14</v>
      </c>
      <c r="B14" t="str">
        <f t="shared" si="0"/>
        <v>James Wilson</v>
      </c>
    </row>
    <row r="15" spans="1:6">
      <c r="A15" t="s">
        <v>6</v>
      </c>
      <c r="B15" t="str">
        <f t="shared" si="0"/>
        <v>David Smith</v>
      </c>
    </row>
    <row r="16" spans="1:6">
      <c r="A16" t="s">
        <v>12</v>
      </c>
      <c r="B16" t="str">
        <f t="shared" si="0"/>
        <v>Aisha Bello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43B4-36DE-4F8B-B448-0E3D6E5C2975}">
  <dimension ref="A3:B7"/>
  <sheetViews>
    <sheetView topLeftCell="A3" zoomScale="158" zoomScaleNormal="158" workbookViewId="0">
      <selection activeCell="A3" sqref="A1:B1048576"/>
    </sheetView>
  </sheetViews>
  <sheetFormatPr defaultRowHeight="14.4"/>
  <cols>
    <col min="1" max="2" width="12.5546875" bestFit="1" customWidth="1"/>
    <col min="3" max="3" width="9.21875" bestFit="1" customWidth="1"/>
    <col min="4" max="4" width="10.77734375" bestFit="1" customWidth="1"/>
  </cols>
  <sheetData>
    <row r="3" spans="1:2">
      <c r="A3" s="9" t="s">
        <v>46</v>
      </c>
      <c r="B3" t="s">
        <v>48</v>
      </c>
    </row>
    <row r="4" spans="1:2">
      <c r="A4" s="10" t="s">
        <v>8</v>
      </c>
      <c r="B4" s="11">
        <v>135000</v>
      </c>
    </row>
    <row r="5" spans="1:2">
      <c r="A5" s="10" t="s">
        <v>5</v>
      </c>
      <c r="B5" s="11">
        <v>123000</v>
      </c>
    </row>
    <row r="6" spans="1:2">
      <c r="A6" s="10" t="s">
        <v>18</v>
      </c>
      <c r="B6" s="11">
        <v>121000</v>
      </c>
    </row>
    <row r="7" spans="1:2">
      <c r="A7" s="10" t="s">
        <v>47</v>
      </c>
      <c r="B7" s="11">
        <v>379000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22F2-C997-42E2-815E-8E8D23199BB2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699C-F431-43A1-9FDF-0E895A5E372D}">
  <sheetPr>
    <tabColor rgb="FFFFFF00"/>
  </sheetPr>
  <dimension ref="A1:E12"/>
  <sheetViews>
    <sheetView topLeftCell="A4" zoomScale="170" zoomScaleNormal="170" workbookViewId="0">
      <selection activeCell="E12" sqref="E12"/>
    </sheetView>
  </sheetViews>
  <sheetFormatPr defaultRowHeight="14.4"/>
  <cols>
    <col min="1" max="1" width="12.88671875" customWidth="1"/>
    <col min="2" max="2" width="14.77734375" customWidth="1"/>
    <col min="3" max="3" width="12.109375" customWidth="1"/>
    <col min="5" max="5" width="17.6640625" customWidth="1"/>
  </cols>
  <sheetData>
    <row r="1" spans="1:5" ht="19.8" customHeight="1">
      <c r="A1" s="3" t="s">
        <v>0</v>
      </c>
      <c r="B1" s="3" t="s">
        <v>1</v>
      </c>
      <c r="C1" s="3" t="s">
        <v>2</v>
      </c>
      <c r="D1" s="3" t="s">
        <v>27</v>
      </c>
      <c r="E1" s="2" t="s">
        <v>49</v>
      </c>
    </row>
    <row r="2" spans="1:5" s="8" customFormat="1">
      <c r="A2" s="7" t="s">
        <v>3</v>
      </c>
      <c r="B2" s="7" t="s">
        <v>4</v>
      </c>
      <c r="C2" s="7" t="s">
        <v>5</v>
      </c>
      <c r="D2" s="7">
        <v>32000</v>
      </c>
      <c r="E2" t="s">
        <v>50</v>
      </c>
    </row>
    <row r="3" spans="1:5" s="8" customFormat="1">
      <c r="A3" s="7" t="s">
        <v>6</v>
      </c>
      <c r="B3" s="7" t="s">
        <v>7</v>
      </c>
      <c r="C3" s="7" t="s">
        <v>8</v>
      </c>
      <c r="D3" s="7">
        <v>45000</v>
      </c>
      <c r="E3" t="s">
        <v>50</v>
      </c>
    </row>
    <row r="4" spans="1:5" s="8" customFormat="1">
      <c r="A4" s="7" t="s">
        <v>9</v>
      </c>
      <c r="B4" s="7" t="s">
        <v>10</v>
      </c>
      <c r="C4" s="7" t="s">
        <v>11</v>
      </c>
      <c r="D4" s="7">
        <v>39000</v>
      </c>
      <c r="E4" t="s">
        <v>51</v>
      </c>
    </row>
    <row r="5" spans="1:5" s="8" customFormat="1">
      <c r="A5" s="7" t="s">
        <v>12</v>
      </c>
      <c r="B5" s="7" t="s">
        <v>13</v>
      </c>
      <c r="C5" s="7" t="s">
        <v>5</v>
      </c>
      <c r="D5" s="7">
        <v>36000</v>
      </c>
      <c r="E5" t="s">
        <v>50</v>
      </c>
    </row>
    <row r="6" spans="1:5" s="8" customFormat="1">
      <c r="A6" s="7" t="s">
        <v>14</v>
      </c>
      <c r="B6" s="7" t="s">
        <v>15</v>
      </c>
      <c r="C6" s="7" t="s">
        <v>8</v>
      </c>
      <c r="D6" s="7">
        <v>30000</v>
      </c>
      <c r="E6" t="s">
        <v>51</v>
      </c>
    </row>
    <row r="7" spans="1:5" s="8" customFormat="1">
      <c r="A7" s="7" t="s">
        <v>16</v>
      </c>
      <c r="B7" s="7" t="s">
        <v>17</v>
      </c>
      <c r="C7" s="7" t="s">
        <v>18</v>
      </c>
      <c r="D7" s="7">
        <v>41000</v>
      </c>
      <c r="E7" t="s">
        <v>50</v>
      </c>
    </row>
    <row r="8" spans="1:5" s="8" customFormat="1">
      <c r="A8" s="7" t="s">
        <v>19</v>
      </c>
      <c r="B8" s="7" t="s">
        <v>20</v>
      </c>
      <c r="C8" s="7" t="s">
        <v>8</v>
      </c>
      <c r="D8" s="7">
        <v>60000</v>
      </c>
      <c r="E8" t="s">
        <v>50</v>
      </c>
    </row>
    <row r="9" spans="1:5" s="8" customFormat="1">
      <c r="A9" s="7" t="s">
        <v>21</v>
      </c>
      <c r="B9" s="7" t="s">
        <v>22</v>
      </c>
      <c r="C9" s="7" t="s">
        <v>18</v>
      </c>
      <c r="D9" s="7">
        <v>34000</v>
      </c>
      <c r="E9" t="s">
        <v>51</v>
      </c>
    </row>
    <row r="10" spans="1:5" s="8" customFormat="1">
      <c r="A10" s="7" t="s">
        <v>23</v>
      </c>
      <c r="B10" s="7" t="s">
        <v>24</v>
      </c>
      <c r="C10" s="7" t="s">
        <v>5</v>
      </c>
      <c r="D10" s="7">
        <v>55000</v>
      </c>
      <c r="E10" t="s">
        <v>50</v>
      </c>
    </row>
    <row r="11" spans="1:5" s="8" customFormat="1">
      <c r="A11" s="7" t="s">
        <v>25</v>
      </c>
      <c r="B11" s="7" t="s">
        <v>26</v>
      </c>
      <c r="C11" s="7" t="s">
        <v>11</v>
      </c>
      <c r="D11" s="7">
        <v>40000</v>
      </c>
      <c r="E11" t="s">
        <v>51</v>
      </c>
    </row>
    <row r="12" spans="1:5">
      <c r="A12" s="7" t="s">
        <v>53</v>
      </c>
      <c r="B12" t="s">
        <v>54</v>
      </c>
      <c r="C12" t="s">
        <v>18</v>
      </c>
      <c r="D12">
        <v>46000</v>
      </c>
      <c r="E12" t="s">
        <v>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EC53-3454-4874-9461-A4923BB65F9D}">
  <dimension ref="A1:D9"/>
  <sheetViews>
    <sheetView zoomScale="167" zoomScaleNormal="167" workbookViewId="0">
      <selection activeCell="B5" sqref="B5"/>
    </sheetView>
  </sheetViews>
  <sheetFormatPr defaultRowHeight="14.4"/>
  <cols>
    <col min="1" max="1" width="12.5546875" bestFit="1" customWidth="1"/>
    <col min="2" max="2" width="15.5546875" bestFit="1" customWidth="1"/>
    <col min="3" max="3" width="6.109375" bestFit="1" customWidth="1"/>
    <col min="4" max="4" width="11" bestFit="1" customWidth="1"/>
  </cols>
  <sheetData>
    <row r="1" spans="1:4">
      <c r="A1" s="9" t="s">
        <v>63</v>
      </c>
      <c r="B1" s="9" t="s">
        <v>52</v>
      </c>
    </row>
    <row r="2" spans="1:4">
      <c r="A2" s="9" t="s">
        <v>46</v>
      </c>
      <c r="B2" t="s">
        <v>64</v>
      </c>
      <c r="C2" t="s">
        <v>65</v>
      </c>
      <c r="D2" t="s">
        <v>47</v>
      </c>
    </row>
    <row r="3" spans="1:4">
      <c r="A3" s="13" t="s">
        <v>57</v>
      </c>
      <c r="B3" s="11">
        <v>3000</v>
      </c>
      <c r="C3" s="11">
        <v>6800</v>
      </c>
      <c r="D3" s="11">
        <v>9800</v>
      </c>
    </row>
    <row r="4" spans="1:4">
      <c r="A4" s="13" t="s">
        <v>58</v>
      </c>
      <c r="B4" s="11">
        <v>3700</v>
      </c>
      <c r="C4" s="11">
        <v>7300</v>
      </c>
      <c r="D4" s="11">
        <v>11000</v>
      </c>
    </row>
    <row r="5" spans="1:4">
      <c r="A5" s="13" t="s">
        <v>59</v>
      </c>
      <c r="B5" s="11">
        <v>4250</v>
      </c>
      <c r="C5" s="11">
        <v>7900</v>
      </c>
      <c r="D5" s="11">
        <v>12150</v>
      </c>
    </row>
    <row r="6" spans="1:4">
      <c r="A6" s="13" t="s">
        <v>60</v>
      </c>
      <c r="B6" s="11">
        <v>4900</v>
      </c>
      <c r="C6" s="11">
        <v>8500</v>
      </c>
      <c r="D6" s="11">
        <v>13400</v>
      </c>
    </row>
    <row r="7" spans="1:4">
      <c r="A7" s="13" t="s">
        <v>61</v>
      </c>
      <c r="B7" s="11">
        <v>5400</v>
      </c>
      <c r="C7" s="11">
        <v>9100</v>
      </c>
      <c r="D7" s="11">
        <v>14500</v>
      </c>
    </row>
    <row r="8" spans="1:4">
      <c r="A8" s="13" t="s">
        <v>62</v>
      </c>
      <c r="B8" s="11">
        <v>6000</v>
      </c>
      <c r="C8" s="11">
        <v>9700</v>
      </c>
      <c r="D8" s="11">
        <v>15700</v>
      </c>
    </row>
    <row r="9" spans="1:4">
      <c r="A9" s="13" t="s">
        <v>47</v>
      </c>
      <c r="B9" s="11">
        <v>27250</v>
      </c>
      <c r="C9" s="11">
        <v>49300</v>
      </c>
      <c r="D9" s="11">
        <v>76550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232A-24DC-4749-99C3-48C3ED472FDC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A0D3-04D1-47A9-9EE9-AD4AC435A580}">
  <sheetPr>
    <tabColor rgb="FFFF0000"/>
  </sheetPr>
  <dimension ref="A1:B25"/>
  <sheetViews>
    <sheetView topLeftCell="A7" zoomScale="153" zoomScaleNormal="153" workbookViewId="0">
      <selection sqref="A1:B25"/>
    </sheetView>
  </sheetViews>
  <sheetFormatPr defaultRowHeight="14.4"/>
  <cols>
    <col min="1" max="1" width="10.6640625" customWidth="1"/>
  </cols>
  <sheetData>
    <row r="1" spans="1:2">
      <c r="A1" s="6" t="s">
        <v>55</v>
      </c>
      <c r="B1" s="6" t="s">
        <v>56</v>
      </c>
    </row>
    <row r="2" spans="1:2">
      <c r="A2" s="12">
        <v>46027</v>
      </c>
      <c r="B2" s="1">
        <v>1200</v>
      </c>
    </row>
    <row r="3" spans="1:2">
      <c r="A3" s="12">
        <v>46040</v>
      </c>
      <c r="B3" s="1">
        <v>1800</v>
      </c>
    </row>
    <row r="4" spans="1:2">
      <c r="A4" s="12">
        <v>46056</v>
      </c>
      <c r="B4" s="1">
        <v>1500</v>
      </c>
    </row>
    <row r="5" spans="1:2">
      <c r="A5" s="12">
        <v>46074</v>
      </c>
      <c r="B5" s="1">
        <v>2200</v>
      </c>
    </row>
    <row r="6" spans="1:2">
      <c r="A6" s="12">
        <v>46088</v>
      </c>
      <c r="B6" s="1">
        <v>1750</v>
      </c>
    </row>
    <row r="7" spans="1:2">
      <c r="A7" s="12">
        <v>46100</v>
      </c>
      <c r="B7" s="1">
        <v>2500</v>
      </c>
    </row>
    <row r="8" spans="1:2">
      <c r="A8" s="12">
        <v>46116</v>
      </c>
      <c r="B8" s="1">
        <v>2100</v>
      </c>
    </row>
    <row r="9" spans="1:2">
      <c r="A9" s="12">
        <v>46134</v>
      </c>
      <c r="B9" s="1">
        <v>2800</v>
      </c>
    </row>
    <row r="10" spans="1:2">
      <c r="A10" s="12">
        <v>46148</v>
      </c>
      <c r="B10" s="1">
        <v>2300</v>
      </c>
    </row>
    <row r="11" spans="1:2">
      <c r="A11" s="12">
        <v>46167</v>
      </c>
      <c r="B11" s="1">
        <v>3100</v>
      </c>
    </row>
    <row r="12" spans="1:2">
      <c r="A12" s="12">
        <v>46181</v>
      </c>
      <c r="B12" s="1">
        <v>2600</v>
      </c>
    </row>
    <row r="13" spans="1:2">
      <c r="A13" s="12">
        <v>46193</v>
      </c>
      <c r="B13" s="1">
        <v>3400</v>
      </c>
    </row>
    <row r="14" spans="1:2">
      <c r="A14" s="12">
        <v>46397</v>
      </c>
      <c r="B14" s="1">
        <v>3200</v>
      </c>
    </row>
    <row r="15" spans="1:2">
      <c r="A15" s="12">
        <v>46411</v>
      </c>
      <c r="B15" s="1">
        <v>3600</v>
      </c>
    </row>
    <row r="16" spans="1:2">
      <c r="A16" s="12">
        <v>46426</v>
      </c>
      <c r="B16" s="1">
        <v>3400</v>
      </c>
    </row>
    <row r="17" spans="1:2">
      <c r="A17" s="12">
        <v>46438</v>
      </c>
      <c r="B17" s="1">
        <v>3900</v>
      </c>
    </row>
    <row r="18" spans="1:2">
      <c r="A18" s="12">
        <v>46451</v>
      </c>
      <c r="B18" s="1">
        <v>3700</v>
      </c>
    </row>
    <row r="19" spans="1:2">
      <c r="A19" s="12">
        <v>46464</v>
      </c>
      <c r="B19" s="1">
        <v>4200</v>
      </c>
    </row>
    <row r="20" spans="1:2">
      <c r="A20" s="12">
        <v>46486</v>
      </c>
      <c r="B20" s="1">
        <v>4000</v>
      </c>
    </row>
    <row r="21" spans="1:2">
      <c r="A21" s="12">
        <v>46500</v>
      </c>
      <c r="B21" s="1">
        <v>4500</v>
      </c>
    </row>
    <row r="22" spans="1:2">
      <c r="A22" s="12">
        <v>46514</v>
      </c>
      <c r="B22" s="1">
        <v>4300</v>
      </c>
    </row>
    <row r="23" spans="1:2">
      <c r="A23" s="12">
        <v>46528</v>
      </c>
      <c r="B23" s="1">
        <v>4800</v>
      </c>
    </row>
    <row r="24" spans="1:2">
      <c r="A24" s="12">
        <v>46544</v>
      </c>
      <c r="B24" s="1">
        <v>4600</v>
      </c>
    </row>
    <row r="25" spans="1:2">
      <c r="A25" s="12">
        <v>46557</v>
      </c>
      <c r="B25" s="1">
        <v>5100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EAF7-C73B-4709-B651-29F1938B92F7}">
  <dimension ref="A1:B6"/>
  <sheetViews>
    <sheetView zoomScale="173" zoomScaleNormal="173" workbookViewId="0">
      <selection activeCell="G6" sqref="G6"/>
    </sheetView>
  </sheetViews>
  <sheetFormatPr defaultRowHeight="14.4"/>
  <cols>
    <col min="1" max="1" width="12.5546875" bestFit="1" customWidth="1"/>
    <col min="2" max="2" width="15" bestFit="1" customWidth="1"/>
    <col min="3" max="3" width="11.88671875" bestFit="1" customWidth="1"/>
    <col min="4" max="4" width="9.21875" bestFit="1" customWidth="1"/>
    <col min="5" max="5" width="10.77734375" bestFit="1" customWidth="1"/>
    <col min="6" max="6" width="15" bestFit="1" customWidth="1"/>
    <col min="7" max="7" width="19.21875" bestFit="1" customWidth="1"/>
    <col min="8" max="8" width="19.77734375" bestFit="1" customWidth="1"/>
    <col min="9" max="9" width="24" bestFit="1" customWidth="1"/>
  </cols>
  <sheetData>
    <row r="1" spans="1:2">
      <c r="A1" s="9" t="s">
        <v>46</v>
      </c>
      <c r="B1" t="s">
        <v>99</v>
      </c>
    </row>
    <row r="2" spans="1:2">
      <c r="A2" s="10" t="s">
        <v>81</v>
      </c>
      <c r="B2" s="14">
        <v>12700</v>
      </c>
    </row>
    <row r="3" spans="1:2">
      <c r="A3" s="10" t="s">
        <v>73</v>
      </c>
      <c r="B3" s="14">
        <v>11700</v>
      </c>
    </row>
    <row r="4" spans="1:2">
      <c r="A4" s="10" t="s">
        <v>77</v>
      </c>
      <c r="B4" s="14">
        <v>9900</v>
      </c>
    </row>
    <row r="5" spans="1:2">
      <c r="A5" s="10" t="s">
        <v>84</v>
      </c>
      <c r="B5" s="14">
        <v>7300</v>
      </c>
    </row>
    <row r="6" spans="1:2">
      <c r="A6" s="10" t="s">
        <v>47</v>
      </c>
      <c r="B6" s="14">
        <v>41600</v>
      </c>
    </row>
  </sheetData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FDEB-E8A8-4F98-A74D-05A9F74BA7E1}">
  <dimension ref="A1:G17"/>
  <sheetViews>
    <sheetView zoomScale="161" zoomScaleNormal="161" workbookViewId="0">
      <selection activeCell="B7" sqref="B7"/>
    </sheetView>
  </sheetViews>
  <sheetFormatPr defaultRowHeight="14.4"/>
  <cols>
    <col min="1" max="1" width="9.77734375" customWidth="1"/>
    <col min="2" max="2" width="11.109375" customWidth="1"/>
    <col min="5" max="5" width="12.44140625" customWidth="1"/>
    <col min="7" max="7" width="9.21875" customWidth="1"/>
  </cols>
  <sheetData>
    <row r="1" spans="1:7" ht="24" customHeight="1">
      <c r="A1" s="3" t="s">
        <v>66</v>
      </c>
      <c r="B1" s="3" t="s">
        <v>55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</row>
    <row r="2" spans="1:7">
      <c r="A2" s="1" t="s">
        <v>72</v>
      </c>
      <c r="B2" s="12">
        <v>46030</v>
      </c>
      <c r="C2" s="1" t="s">
        <v>73</v>
      </c>
      <c r="D2" s="1" t="s">
        <v>74</v>
      </c>
      <c r="E2" s="1" t="s">
        <v>75</v>
      </c>
      <c r="F2" s="1">
        <v>3</v>
      </c>
      <c r="G2" s="1">
        <v>3600</v>
      </c>
    </row>
    <row r="3" spans="1:7">
      <c r="A3" s="1" t="s">
        <v>76</v>
      </c>
      <c r="B3" s="12">
        <v>46037</v>
      </c>
      <c r="C3" s="1" t="s">
        <v>77</v>
      </c>
      <c r="D3" s="1" t="s">
        <v>78</v>
      </c>
      <c r="E3" s="1" t="s">
        <v>79</v>
      </c>
      <c r="F3" s="1">
        <v>5</v>
      </c>
      <c r="G3" s="1">
        <v>1500</v>
      </c>
    </row>
    <row r="4" spans="1:7">
      <c r="A4" s="1" t="s">
        <v>80</v>
      </c>
      <c r="B4" s="12">
        <v>46057</v>
      </c>
      <c r="C4" s="1" t="s">
        <v>81</v>
      </c>
      <c r="D4" s="1" t="s">
        <v>74</v>
      </c>
      <c r="E4" s="1" t="s">
        <v>82</v>
      </c>
      <c r="F4" s="1">
        <v>2</v>
      </c>
      <c r="G4" s="1">
        <v>2400</v>
      </c>
    </row>
    <row r="5" spans="1:7">
      <c r="A5" s="1" t="s">
        <v>83</v>
      </c>
      <c r="B5" s="12">
        <v>46071</v>
      </c>
      <c r="C5" s="1" t="s">
        <v>84</v>
      </c>
      <c r="D5" s="1" t="s">
        <v>85</v>
      </c>
      <c r="E5" s="1" t="s">
        <v>86</v>
      </c>
      <c r="F5" s="1">
        <v>8</v>
      </c>
      <c r="G5" s="1">
        <v>800</v>
      </c>
    </row>
    <row r="6" spans="1:7">
      <c r="A6" s="1" t="s">
        <v>87</v>
      </c>
      <c r="B6" s="12">
        <v>46087</v>
      </c>
      <c r="C6" s="1" t="s">
        <v>73</v>
      </c>
      <c r="D6" s="1" t="s">
        <v>78</v>
      </c>
      <c r="E6" s="1" t="s">
        <v>75</v>
      </c>
      <c r="F6" s="1">
        <v>4</v>
      </c>
      <c r="G6" s="1">
        <v>1200</v>
      </c>
    </row>
    <row r="7" spans="1:7">
      <c r="A7" s="1" t="s">
        <v>88</v>
      </c>
      <c r="B7" s="12">
        <v>46103</v>
      </c>
      <c r="C7" s="1" t="s">
        <v>77</v>
      </c>
      <c r="D7" s="1" t="s">
        <v>74</v>
      </c>
      <c r="E7" s="1" t="s">
        <v>79</v>
      </c>
      <c r="F7" s="1">
        <v>4</v>
      </c>
      <c r="G7" s="1">
        <v>4800</v>
      </c>
    </row>
    <row r="8" spans="1:7">
      <c r="A8" s="1" t="s">
        <v>89</v>
      </c>
      <c r="B8" s="12">
        <v>46121</v>
      </c>
      <c r="C8" s="1" t="s">
        <v>81</v>
      </c>
      <c r="D8" s="1" t="s">
        <v>85</v>
      </c>
      <c r="E8" s="1" t="s">
        <v>82</v>
      </c>
      <c r="F8" s="1">
        <v>10</v>
      </c>
      <c r="G8" s="1">
        <v>1000</v>
      </c>
    </row>
    <row r="9" spans="1:7">
      <c r="A9" s="1" t="s">
        <v>90</v>
      </c>
      <c r="B9" s="12">
        <v>46136</v>
      </c>
      <c r="C9" s="1" t="s">
        <v>84</v>
      </c>
      <c r="D9" s="1" t="s">
        <v>78</v>
      </c>
      <c r="E9" s="1" t="s">
        <v>86</v>
      </c>
      <c r="F9" s="1">
        <v>6</v>
      </c>
      <c r="G9" s="1">
        <v>1800</v>
      </c>
    </row>
    <row r="10" spans="1:7">
      <c r="A10" s="1" t="s">
        <v>91</v>
      </c>
      <c r="B10" s="12">
        <v>46153</v>
      </c>
      <c r="C10" s="1" t="s">
        <v>73</v>
      </c>
      <c r="D10" s="1" t="s">
        <v>74</v>
      </c>
      <c r="E10" s="1" t="s">
        <v>75</v>
      </c>
      <c r="F10" s="1">
        <v>5</v>
      </c>
      <c r="G10" s="1">
        <v>6000</v>
      </c>
    </row>
    <row r="11" spans="1:7">
      <c r="A11" s="1" t="s">
        <v>92</v>
      </c>
      <c r="B11" s="12">
        <v>46168</v>
      </c>
      <c r="C11" s="1" t="s">
        <v>77</v>
      </c>
      <c r="D11" s="1" t="s">
        <v>85</v>
      </c>
      <c r="E11" s="1" t="s">
        <v>79</v>
      </c>
      <c r="F11" s="1">
        <v>12</v>
      </c>
      <c r="G11" s="1">
        <v>1200</v>
      </c>
    </row>
    <row r="12" spans="1:7">
      <c r="A12" s="1" t="s">
        <v>93</v>
      </c>
      <c r="B12" s="12">
        <v>46180</v>
      </c>
      <c r="C12" s="1" t="s">
        <v>81</v>
      </c>
      <c r="D12" s="1" t="s">
        <v>78</v>
      </c>
      <c r="E12" s="1" t="s">
        <v>82</v>
      </c>
      <c r="F12" s="1">
        <v>7</v>
      </c>
      <c r="G12" s="1">
        <v>2100</v>
      </c>
    </row>
    <row r="13" spans="1:7">
      <c r="A13" s="1" t="s">
        <v>94</v>
      </c>
      <c r="B13" s="12">
        <v>46194</v>
      </c>
      <c r="C13" s="1" t="s">
        <v>84</v>
      </c>
      <c r="D13" s="1" t="s">
        <v>74</v>
      </c>
      <c r="E13" s="1" t="s">
        <v>86</v>
      </c>
      <c r="F13" s="1">
        <v>3</v>
      </c>
      <c r="G13" s="1">
        <v>3600</v>
      </c>
    </row>
    <row r="14" spans="1:7">
      <c r="A14" s="1" t="s">
        <v>95</v>
      </c>
      <c r="B14" s="12">
        <v>46213</v>
      </c>
      <c r="C14" s="1" t="s">
        <v>73</v>
      </c>
      <c r="D14" s="1" t="s">
        <v>85</v>
      </c>
      <c r="E14" s="1" t="s">
        <v>75</v>
      </c>
      <c r="F14" s="1">
        <v>9</v>
      </c>
      <c r="G14" s="1">
        <v>900</v>
      </c>
    </row>
    <row r="15" spans="1:7">
      <c r="A15" s="1" t="s">
        <v>96</v>
      </c>
      <c r="B15" s="12">
        <v>46226</v>
      </c>
      <c r="C15" s="1" t="s">
        <v>77</v>
      </c>
      <c r="D15" s="1" t="s">
        <v>78</v>
      </c>
      <c r="E15" s="1" t="s">
        <v>79</v>
      </c>
      <c r="F15" s="1">
        <v>8</v>
      </c>
      <c r="G15" s="1">
        <v>2400</v>
      </c>
    </row>
    <row r="16" spans="1:7">
      <c r="A16" s="1" t="s">
        <v>97</v>
      </c>
      <c r="B16" s="12">
        <v>46246</v>
      </c>
      <c r="C16" s="1" t="s">
        <v>81</v>
      </c>
      <c r="D16" s="1" t="s">
        <v>74</v>
      </c>
      <c r="E16" s="1" t="s">
        <v>82</v>
      </c>
      <c r="F16" s="1">
        <v>6</v>
      </c>
      <c r="G16" s="1">
        <v>7200</v>
      </c>
    </row>
    <row r="17" spans="1:7">
      <c r="A17" s="1" t="s">
        <v>98</v>
      </c>
      <c r="B17" s="12">
        <v>46261</v>
      </c>
      <c r="C17" s="1" t="s">
        <v>84</v>
      </c>
      <c r="D17" s="1" t="s">
        <v>85</v>
      </c>
      <c r="E17" s="1" t="s">
        <v>86</v>
      </c>
      <c r="F17" s="1">
        <v>11</v>
      </c>
      <c r="G17" s="1">
        <v>1100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XLOOKUP_Practice</vt:lpstr>
      <vt:lpstr>Sheet9</vt:lpstr>
      <vt:lpstr>HLOOKUP_Practice</vt:lpstr>
      <vt:lpstr>Sheet4</vt:lpstr>
      <vt:lpstr>Sheet8</vt:lpstr>
      <vt:lpstr>Pivot_Table_Practice</vt:lpstr>
      <vt:lpstr>Sheet10</vt:lpstr>
      <vt:lpstr>Sheet11</vt:lpstr>
      <vt:lpstr>Pivot_Grouping_Practice</vt:lpstr>
      <vt:lpstr>Sheet13</vt:lpstr>
      <vt:lpstr>Pivot_Practical_Challenge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2026-09-07T09:17:11Z</dcterms:created>
  <dcterms:modified xsi:type="dcterms:W3CDTF">2026-09-12T10:37:22Z</dcterms:modified>
</cp:coreProperties>
</file>