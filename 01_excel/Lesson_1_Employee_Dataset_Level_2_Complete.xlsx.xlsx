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DAC\"/>
    </mc:Choice>
  </mc:AlternateContent>
  <xr:revisionPtr revIDLastSave="0" documentId="13_ncr:1_{7E730CAD-2F85-447E-8340-F4928BD23040}" xr6:coauthVersionLast="47" xr6:coauthVersionMax="47" xr10:uidLastSave="{00000000-0000-0000-0000-000000000000}"/>
  <bookViews>
    <workbookView xWindow="-108" yWindow="-108" windowWidth="23256" windowHeight="12456" xr2:uid="{E5FF05AB-4471-4C8D-B71B-C085E45C2DE1}"/>
  </bookViews>
  <sheets>
    <sheet name="Sheet1" sheetId="1" r:id="rId1"/>
  </sheets>
  <definedNames>
    <definedName name="_xlnm._FilterDatabase" localSheetId="0" hidden="1">Sheet1!$D$1:$D$12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4" i="1" l="1"/>
  <c r="P13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15" i="1"/>
  <c r="N14" i="1"/>
  <c r="N13" i="1"/>
  <c r="N3" i="1"/>
  <c r="N4" i="1"/>
  <c r="N5" i="1"/>
  <c r="N6" i="1"/>
  <c r="N7" i="1"/>
  <c r="N8" i="1"/>
  <c r="N9" i="1"/>
  <c r="N10" i="1"/>
  <c r="N11" i="1"/>
  <c r="N2" i="1"/>
  <c r="M14" i="1"/>
  <c r="M13" i="1"/>
  <c r="M3" i="1"/>
  <c r="M4" i="1"/>
  <c r="M5" i="1"/>
  <c r="M6" i="1"/>
  <c r="M7" i="1"/>
  <c r="M8" i="1"/>
  <c r="M9" i="1"/>
  <c r="M10" i="1"/>
  <c r="M11" i="1"/>
  <c r="M2" i="1"/>
  <c r="L14" i="1"/>
  <c r="L13" i="1"/>
  <c r="L3" i="1"/>
  <c r="L4" i="1"/>
  <c r="L5" i="1"/>
  <c r="L6" i="1"/>
  <c r="L7" i="1"/>
  <c r="L8" i="1"/>
  <c r="L9" i="1"/>
  <c r="L10" i="1"/>
  <c r="L11" i="1"/>
  <c r="L2" i="1"/>
  <c r="E20" i="1"/>
  <c r="E19" i="1"/>
  <c r="E18" i="1"/>
  <c r="F18" i="1"/>
  <c r="K16" i="1"/>
  <c r="K15" i="1"/>
  <c r="K14" i="1"/>
  <c r="K13" i="1"/>
  <c r="K3" i="1" a="1"/>
  <c r="K3" i="1" s="1"/>
  <c r="K4" i="1" a="1"/>
  <c r="K4" i="1" s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2" i="1" a="1"/>
  <c r="K2" i="1" s="1"/>
  <c r="J14" i="1"/>
  <c r="J13" i="1"/>
  <c r="J3" i="1"/>
  <c r="J4" i="1"/>
  <c r="J5" i="1"/>
  <c r="J6" i="1"/>
  <c r="J7" i="1"/>
  <c r="J8" i="1"/>
  <c r="J9" i="1"/>
  <c r="J10" i="1"/>
  <c r="J11" i="1"/>
  <c r="J2" i="1"/>
  <c r="E27" i="1"/>
  <c r="E25" i="1"/>
  <c r="G15" i="1"/>
  <c r="G14" i="1"/>
  <c r="G13" i="1"/>
  <c r="G3" i="1"/>
  <c r="G4" i="1"/>
  <c r="G5" i="1"/>
  <c r="G6" i="1"/>
  <c r="G7" i="1"/>
  <c r="G8" i="1"/>
  <c r="G9" i="1"/>
  <c r="G10" i="1"/>
  <c r="G11" i="1"/>
  <c r="G2" i="1"/>
  <c r="F23" i="1"/>
  <c r="E23" i="1"/>
  <c r="E21" i="1"/>
  <c r="F13" i="1"/>
  <c r="I3" i="1"/>
  <c r="I4" i="1"/>
  <c r="I16" i="1" s="1"/>
  <c r="I5" i="1"/>
  <c r="I6" i="1"/>
  <c r="I7" i="1"/>
  <c r="I8" i="1"/>
  <c r="I9" i="1"/>
  <c r="I10" i="1"/>
  <c r="I11" i="1"/>
  <c r="I2" i="1"/>
  <c r="I15" i="1" s="1"/>
  <c r="H14" i="1"/>
  <c r="H3" i="1"/>
  <c r="H4" i="1"/>
  <c r="H5" i="1"/>
  <c r="H6" i="1"/>
  <c r="H7" i="1"/>
  <c r="H8" i="1"/>
  <c r="H9" i="1"/>
  <c r="H10" i="1"/>
  <c r="H11" i="1"/>
  <c r="H2" i="1"/>
  <c r="D16" i="1"/>
  <c r="D15" i="1"/>
  <c r="C13" i="1"/>
  <c r="D14" i="1"/>
  <c r="D13" i="1"/>
  <c r="A13" i="1"/>
  <c r="A12" i="1"/>
  <c r="I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<sst xmlns="http://schemas.openxmlformats.org/spreadsheetml/2006/main" count="51" uniqueCount="45">
  <si>
    <t>Employee_ID</t>
  </si>
  <si>
    <t>Name</t>
  </si>
  <si>
    <t>Age</t>
  </si>
  <si>
    <t>Salary</t>
  </si>
  <si>
    <t>Years_Experience</t>
  </si>
  <si>
    <t>E001</t>
  </si>
  <si>
    <t>Sarah</t>
  </si>
  <si>
    <t>Finance</t>
  </si>
  <si>
    <t>E002</t>
  </si>
  <si>
    <t>David</t>
  </si>
  <si>
    <t>IT</t>
  </si>
  <si>
    <t>E003</t>
  </si>
  <si>
    <t>Michael</t>
  </si>
  <si>
    <t>HR</t>
  </si>
  <si>
    <t>E004</t>
  </si>
  <si>
    <t>Aisha</t>
  </si>
  <si>
    <t>E005</t>
  </si>
  <si>
    <t>James</t>
  </si>
  <si>
    <t>E006</t>
  </si>
  <si>
    <t>Emily</t>
  </si>
  <si>
    <t>Marketing</t>
  </si>
  <si>
    <t>E007</t>
  </si>
  <si>
    <t>Daniel</t>
  </si>
  <si>
    <t>E008</t>
  </si>
  <si>
    <t>Grace</t>
  </si>
  <si>
    <t>E009</t>
  </si>
  <si>
    <t>Thomas</t>
  </si>
  <si>
    <t>E010</t>
  </si>
  <si>
    <t>Olivia</t>
  </si>
  <si>
    <t>Department</t>
  </si>
  <si>
    <t>Total Salary                                 394000</t>
  </si>
  <si>
    <t>Lowest Salary                                30000</t>
  </si>
  <si>
    <t>Average Salary                              39400</t>
  </si>
  <si>
    <t>Highest Salary                               52000</t>
  </si>
  <si>
    <t>No of Emplyees 10</t>
  </si>
  <si>
    <t>Salary_Category</t>
  </si>
  <si>
    <t>Salary Band</t>
  </si>
  <si>
    <t>Experience_Band</t>
  </si>
  <si>
    <t>Finance_Above40k</t>
  </si>
  <si>
    <t>Experience_Level</t>
  </si>
  <si>
    <t>Retention_Priority</t>
  </si>
  <si>
    <r>
      <t>Review_Status</t>
    </r>
    <r>
      <rPr>
        <sz val="11"/>
        <color theme="1"/>
        <rFont val="Calibri"/>
        <family val="2"/>
        <scheme val="minor"/>
      </rPr>
      <t>.</t>
    </r>
  </si>
  <si>
    <t>Salary_Level</t>
  </si>
  <si>
    <t>Salary_Per_Year_Experience</t>
  </si>
  <si>
    <t>Senior_Salary_Review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</si>
</sst>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BCF5-498B-40C2-9475-3921F28B11AB}">
  <dimension ref="A1:P27"/>
  <sheetViews>
    <sheetView tabSelected="1" topLeftCell="M6" zoomScale="138" zoomScaleNormal="138" workbookViewId="0">
      <selection activeCell="R9" sqref="R9"/>
    </sheetView>
  </sheetViews>
  <sheetFormatPr defaultRowHeight="14.4"/>
  <cols>
    <col min="1" max="1" width="13.6640625" customWidth="1"/>
    <col min="3" max="3" width="17.33203125" customWidth="1"/>
    <col min="4" max="4" width="19.6640625" customWidth="1"/>
    <col min="5" max="5" width="31.77734375" customWidth="1"/>
    <col min="6" max="7" width="22.21875" customWidth="1"/>
    <col min="8" max="8" width="14.6640625" customWidth="1"/>
    <col min="9" max="9" width="12.44140625" customWidth="1"/>
    <col min="10" max="10" width="16.6640625" customWidth="1"/>
    <col min="11" max="11" width="17.44140625" customWidth="1"/>
    <col min="12" max="12" width="16.6640625" customWidth="1"/>
    <col min="13" max="13" width="16" customWidth="1"/>
    <col min="14" max="14" width="13" customWidth="1"/>
    <col min="15" max="15" width="27.88671875" customWidth="1"/>
    <col min="16" max="16" width="19.109375" customWidth="1"/>
  </cols>
  <sheetData>
    <row r="1" spans="1:16">
      <c r="A1" t="s">
        <v>0</v>
      </c>
      <c r="B1" t="s">
        <v>1</v>
      </c>
      <c r="C1" t="s">
        <v>2</v>
      </c>
      <c r="D1" s="2" t="s">
        <v>29</v>
      </c>
      <c r="E1" s="2" t="s">
        <v>3</v>
      </c>
      <c r="F1" s="2" t="s">
        <v>4</v>
      </c>
      <c r="G1" s="2" t="s">
        <v>37</v>
      </c>
      <c r="H1" s="2" t="s">
        <v>35</v>
      </c>
      <c r="I1" s="2" t="s">
        <v>36</v>
      </c>
      <c r="J1" s="2" t="s">
        <v>38</v>
      </c>
      <c r="K1" s="3" t="s">
        <v>39</v>
      </c>
      <c r="L1" s="2" t="s">
        <v>40</v>
      </c>
      <c r="M1" s="3" t="s">
        <v>41</v>
      </c>
      <c r="N1" s="2" t="s">
        <v>42</v>
      </c>
      <c r="O1" s="3" t="s">
        <v>43</v>
      </c>
      <c r="P1" s="2" t="s">
        <v>44</v>
      </c>
    </row>
    <row r="2" spans="1:16">
      <c r="A2" s="1" t="s">
        <v>5</v>
      </c>
      <c r="B2" s="1" t="s">
        <v>6</v>
      </c>
      <c r="C2" s="1">
        <v>28</v>
      </c>
      <c r="D2" s="1" t="s">
        <v>7</v>
      </c>
      <c r="E2" s="1">
        <v>52000</v>
      </c>
      <c r="F2" s="1">
        <v>3</v>
      </c>
      <c r="G2" s="1" t="str">
        <f>IF(F2&gt;10,"Senior",IF(F2&gt;=5,"Experienced","Junior"))</f>
        <v>Junior</v>
      </c>
      <c r="H2" t="str">
        <f>IF(E2&gt;40000,"Above £40k","£40k or below")</f>
        <v>Above £40k</v>
      </c>
      <c r="I2" t="str">
        <f>IF(E2&gt;45000,"High",IF(E2&gt;=35000,"Medium","Low"))</f>
        <v>High</v>
      </c>
      <c r="J2" t="b">
        <f>AND(D2="Finance",E2&gt;40000)</f>
        <v>1</v>
      </c>
      <c r="K2" t="str" cm="1">
        <f t="array" ref="K2">_xlfn.IFS(F2&gt;15,"Expert",F2&gt;10,"Senior",F2&gt;=5,"Experienced",TRUE,"Junior")</f>
        <v>Junior</v>
      </c>
      <c r="L2" t="str">
        <f>IF(AND(F2&gt;10,E2&lt;45000),"Priority","Standard")</f>
        <v>Standard</v>
      </c>
      <c r="M2" t="str">
        <f>IF(OR(D2="Finance",F2&gt;10),"Review","No Review")</f>
        <v>Review</v>
      </c>
      <c r="N2" t="str">
        <f>IF(E2&gt;45000,"High",IF(E2&gt;=35000,"Medium","Low"))</f>
        <v>High</v>
      </c>
      <c r="O2" s="4">
        <f>IFERROR(E2/F2,"Check Data")</f>
        <v>17333.333333333332</v>
      </c>
      <c r="P2" t="str">
        <f>IF(AND(E2&lt;45000,F2&gt;=10),"Review","No Review")</f>
        <v>No Review</v>
      </c>
    </row>
    <row r="3" spans="1:16">
      <c r="A3" s="1" t="s">
        <v>8</v>
      </c>
      <c r="B3" s="1" t="s">
        <v>9</v>
      </c>
      <c r="C3" s="1">
        <v>35</v>
      </c>
      <c r="D3" s="1" t="s">
        <v>10</v>
      </c>
      <c r="E3" s="1">
        <v>47000</v>
      </c>
      <c r="F3" s="1">
        <v>7</v>
      </c>
      <c r="G3" s="1" t="str">
        <f t="shared" ref="G3:G11" si="0">IF(F3&gt;10,"Senior",IF(F3&gt;=5,"Experienced","Junior"))</f>
        <v>Experienced</v>
      </c>
      <c r="H3" t="str">
        <f t="shared" ref="H3:H11" si="1">IF(E3&gt;40000,"Above £40k","£40k or below")</f>
        <v>Above £40k</v>
      </c>
      <c r="I3" t="str">
        <f t="shared" ref="I3:I11" si="2">IF(E3&gt;45000,"High",IF(E3&gt;=35000,"Medium","Low"))</f>
        <v>High</v>
      </c>
      <c r="J3" t="b">
        <f t="shared" ref="J3:J11" si="3">AND(D3="Finance",E3&gt;40000)</f>
        <v>0</v>
      </c>
      <c r="K3" t="str" cm="1">
        <f t="array" ref="K3">_xlfn.IFS(F3&gt;15,"Expert",F3&gt;10,"Senior",F3&gt;=5,"Experienced",TRUE,"Junior")</f>
        <v>Experienced</v>
      </c>
      <c r="L3" t="str">
        <f t="shared" ref="L3:L11" si="4">IF(AND(F3&gt;10,E3&lt;45000),"Priority","Standard")</f>
        <v>Standard</v>
      </c>
      <c r="M3" t="str">
        <f t="shared" ref="M3:M11" si="5">IF(OR(D3="Finance",F3&gt;10),"Review","No Review")</f>
        <v>No Review</v>
      </c>
      <c r="N3" t="str">
        <f t="shared" ref="N3:N11" si="6">IF(E3&gt;45000,"High",IF(E3&gt;=35000,"Medium","Low"))</f>
        <v>High</v>
      </c>
      <c r="O3" s="4">
        <f t="shared" ref="O3:O11" si="7">IFERROR(E3/F3,"Check Data")</f>
        <v>6714.2857142857147</v>
      </c>
      <c r="P3" t="str">
        <f t="shared" ref="P3:P11" si="8">IF(AND(E3&lt;45000,F3&gt;=10),"Review","No Review")</f>
        <v>No Review</v>
      </c>
    </row>
    <row r="4" spans="1:16">
      <c r="A4" s="1" t="s">
        <v>11</v>
      </c>
      <c r="B4" s="1" t="s">
        <v>12</v>
      </c>
      <c r="C4" s="1">
        <v>42</v>
      </c>
      <c r="D4" s="1" t="s">
        <v>13</v>
      </c>
      <c r="E4" s="1">
        <v>45000</v>
      </c>
      <c r="F4" s="1">
        <v>12</v>
      </c>
      <c r="G4" s="1" t="str">
        <f t="shared" si="0"/>
        <v>Senior</v>
      </c>
      <c r="H4" t="str">
        <f t="shared" si="1"/>
        <v>Above £40k</v>
      </c>
      <c r="I4" t="str">
        <f t="shared" si="2"/>
        <v>Medium</v>
      </c>
      <c r="J4" t="b">
        <f t="shared" si="3"/>
        <v>0</v>
      </c>
      <c r="K4" t="str" cm="1">
        <f t="array" ref="K4">_xlfn.IFS(F4&gt;15,"Expert",F4&gt;10,"Senior",F4&gt;=5,"Experienced",TRUE,"Junior")</f>
        <v>Senior</v>
      </c>
      <c r="L4" t="str">
        <f t="shared" si="4"/>
        <v>Standard</v>
      </c>
      <c r="M4" t="str">
        <f t="shared" si="5"/>
        <v>Review</v>
      </c>
      <c r="N4" t="str">
        <f t="shared" si="6"/>
        <v>Medium</v>
      </c>
      <c r="O4" s="4">
        <f t="shared" si="7"/>
        <v>3750</v>
      </c>
      <c r="P4" t="str">
        <f t="shared" si="8"/>
        <v>No Review</v>
      </c>
    </row>
    <row r="5" spans="1:16">
      <c r="A5" s="1" t="s">
        <v>14</v>
      </c>
      <c r="B5" s="1" t="s">
        <v>15</v>
      </c>
      <c r="C5" s="1">
        <v>31</v>
      </c>
      <c r="D5" s="1" t="s">
        <v>7</v>
      </c>
      <c r="E5" s="1">
        <v>41000</v>
      </c>
      <c r="F5" s="1">
        <v>5</v>
      </c>
      <c r="G5" s="1" t="str">
        <f t="shared" si="0"/>
        <v>Experienced</v>
      </c>
      <c r="H5" t="str">
        <f t="shared" si="1"/>
        <v>Above £40k</v>
      </c>
      <c r="I5" t="str">
        <f t="shared" si="2"/>
        <v>Medium</v>
      </c>
      <c r="J5" t="b">
        <f t="shared" si="3"/>
        <v>1</v>
      </c>
      <c r="K5" t="str" cm="1">
        <f t="array" ref="K5">_xlfn.IFS(F5&gt;15,"Expert",F5&gt;10,"Senior",F5&gt;=5,"Experienced",TRUE,"Junior")</f>
        <v>Experienced</v>
      </c>
      <c r="L5" t="str">
        <f t="shared" si="4"/>
        <v>Standard</v>
      </c>
      <c r="M5" t="str">
        <f t="shared" si="5"/>
        <v>Review</v>
      </c>
      <c r="N5" t="str">
        <f t="shared" si="6"/>
        <v>Medium</v>
      </c>
      <c r="O5" s="4">
        <f t="shared" si="7"/>
        <v>8200</v>
      </c>
      <c r="P5" t="str">
        <f t="shared" si="8"/>
        <v>No Review</v>
      </c>
    </row>
    <row r="6" spans="1:16">
      <c r="A6" s="1" t="s">
        <v>16</v>
      </c>
      <c r="B6" s="1" t="s">
        <v>17</v>
      </c>
      <c r="C6" s="1">
        <v>26</v>
      </c>
      <c r="D6" s="1" t="s">
        <v>10</v>
      </c>
      <c r="E6" s="1">
        <v>39000</v>
      </c>
      <c r="F6" s="1">
        <v>2</v>
      </c>
      <c r="G6" s="1" t="str">
        <f t="shared" si="0"/>
        <v>Junior</v>
      </c>
      <c r="H6" t="str">
        <f t="shared" si="1"/>
        <v>£40k or below</v>
      </c>
      <c r="I6" t="str">
        <f t="shared" si="2"/>
        <v>Medium</v>
      </c>
      <c r="J6" t="b">
        <f t="shared" si="3"/>
        <v>0</v>
      </c>
      <c r="K6" t="str" cm="1">
        <f t="array" ref="K6">_xlfn.IFS(F6&gt;15,"Expert",F6&gt;10,"Senior",F6&gt;=5,"Experienced",TRUE,"Junior")</f>
        <v>Junior</v>
      </c>
      <c r="L6" t="str">
        <f t="shared" si="4"/>
        <v>Standard</v>
      </c>
      <c r="M6" t="str">
        <f t="shared" si="5"/>
        <v>No Review</v>
      </c>
      <c r="N6" t="str">
        <f t="shared" si="6"/>
        <v>Medium</v>
      </c>
      <c r="O6" s="4">
        <f t="shared" si="7"/>
        <v>19500</v>
      </c>
      <c r="P6" t="str">
        <f t="shared" si="8"/>
        <v>No Review</v>
      </c>
    </row>
    <row r="7" spans="1:16">
      <c r="A7" s="1" t="s">
        <v>18</v>
      </c>
      <c r="B7" s="1" t="s">
        <v>19</v>
      </c>
      <c r="C7" s="1">
        <v>39</v>
      </c>
      <c r="D7" s="1" t="s">
        <v>20</v>
      </c>
      <c r="E7" s="1">
        <v>38000</v>
      </c>
      <c r="F7" s="1">
        <v>9</v>
      </c>
      <c r="G7" s="1" t="str">
        <f t="shared" si="0"/>
        <v>Experienced</v>
      </c>
      <c r="H7" t="str">
        <f t="shared" si="1"/>
        <v>£40k or below</v>
      </c>
      <c r="I7" t="str">
        <f t="shared" si="2"/>
        <v>Medium</v>
      </c>
      <c r="J7" t="b">
        <f t="shared" si="3"/>
        <v>0</v>
      </c>
      <c r="K7" t="str" cm="1">
        <f t="array" ref="K7">_xlfn.IFS(F7&gt;15,"Expert",F7&gt;10,"Senior",F7&gt;=5,"Experienced",TRUE,"Junior")</f>
        <v>Experienced</v>
      </c>
      <c r="L7" t="str">
        <f t="shared" si="4"/>
        <v>Standard</v>
      </c>
      <c r="M7" t="str">
        <f t="shared" si="5"/>
        <v>No Review</v>
      </c>
      <c r="N7" t="str">
        <f t="shared" si="6"/>
        <v>Medium</v>
      </c>
      <c r="O7" s="4">
        <f t="shared" si="7"/>
        <v>4222.2222222222226</v>
      </c>
      <c r="P7" t="str">
        <f t="shared" si="8"/>
        <v>No Review</v>
      </c>
    </row>
    <row r="8" spans="1:16">
      <c r="A8" s="1" t="s">
        <v>21</v>
      </c>
      <c r="B8" s="1" t="s">
        <v>22</v>
      </c>
      <c r="C8" s="1">
        <v>45</v>
      </c>
      <c r="D8" s="1" t="s">
        <v>10</v>
      </c>
      <c r="E8" s="1">
        <v>36000</v>
      </c>
      <c r="F8" s="1">
        <v>15</v>
      </c>
      <c r="G8" s="1" t="str">
        <f t="shared" si="0"/>
        <v>Senior</v>
      </c>
      <c r="H8" t="str">
        <f t="shared" si="1"/>
        <v>£40k or below</v>
      </c>
      <c r="I8" t="str">
        <f t="shared" si="2"/>
        <v>Medium</v>
      </c>
      <c r="J8" t="b">
        <f t="shared" si="3"/>
        <v>0</v>
      </c>
      <c r="K8" t="str" cm="1">
        <f t="array" ref="K8">_xlfn.IFS(F8&gt;15,"Expert",F8&gt;10,"Senior",F8&gt;=5,"Experienced",TRUE,"Junior")</f>
        <v>Senior</v>
      </c>
      <c r="L8" t="str">
        <f t="shared" si="4"/>
        <v>Priority</v>
      </c>
      <c r="M8" t="str">
        <f t="shared" si="5"/>
        <v>Review</v>
      </c>
      <c r="N8" t="str">
        <f t="shared" si="6"/>
        <v>Medium</v>
      </c>
      <c r="O8" s="4">
        <f t="shared" si="7"/>
        <v>2400</v>
      </c>
      <c r="P8" t="str">
        <f t="shared" si="8"/>
        <v>Review</v>
      </c>
    </row>
    <row r="9" spans="1:16">
      <c r="A9" s="1" t="s">
        <v>23</v>
      </c>
      <c r="B9" s="1" t="s">
        <v>24</v>
      </c>
      <c r="C9" s="1">
        <v>29</v>
      </c>
      <c r="D9" s="1" t="s">
        <v>20</v>
      </c>
      <c r="E9" s="1">
        <v>34000</v>
      </c>
      <c r="F9" s="1">
        <v>4</v>
      </c>
      <c r="G9" s="1" t="str">
        <f t="shared" si="0"/>
        <v>Junior</v>
      </c>
      <c r="H9" t="str">
        <f t="shared" si="1"/>
        <v>£40k or below</v>
      </c>
      <c r="I9" t="str">
        <f t="shared" si="2"/>
        <v>Low</v>
      </c>
      <c r="J9" t="b">
        <f t="shared" si="3"/>
        <v>0</v>
      </c>
      <c r="K9" t="str" cm="1">
        <f t="array" ref="K9">_xlfn.IFS(F9&gt;15,"Expert",F9&gt;10,"Senior",F9&gt;=5,"Experienced",TRUE,"Junior")</f>
        <v>Junior</v>
      </c>
      <c r="L9" t="str">
        <f t="shared" si="4"/>
        <v>Standard</v>
      </c>
      <c r="M9" t="str">
        <f t="shared" si="5"/>
        <v>No Review</v>
      </c>
      <c r="N9" t="str">
        <f t="shared" si="6"/>
        <v>Low</v>
      </c>
      <c r="O9" s="4">
        <f t="shared" si="7"/>
        <v>8500</v>
      </c>
      <c r="P9" t="str">
        <f t="shared" si="8"/>
        <v>No Review</v>
      </c>
    </row>
    <row r="10" spans="1:16">
      <c r="A10" s="1" t="s">
        <v>25</v>
      </c>
      <c r="B10" s="1" t="s">
        <v>26</v>
      </c>
      <c r="C10" s="1">
        <v>51</v>
      </c>
      <c r="D10" s="1" t="s">
        <v>13</v>
      </c>
      <c r="E10" s="1">
        <v>32000</v>
      </c>
      <c r="F10" s="1">
        <v>20</v>
      </c>
      <c r="G10" s="1" t="str">
        <f t="shared" si="0"/>
        <v>Senior</v>
      </c>
      <c r="H10" t="str">
        <f t="shared" si="1"/>
        <v>£40k or below</v>
      </c>
      <c r="I10" t="str">
        <f t="shared" si="2"/>
        <v>Low</v>
      </c>
      <c r="J10" t="b">
        <f t="shared" si="3"/>
        <v>0</v>
      </c>
      <c r="K10" t="str" cm="1">
        <f t="array" ref="K10">_xlfn.IFS(F10&gt;15,"Expert",F10&gt;10,"Senior",F10&gt;=5,"Experienced",TRUE,"Junior")</f>
        <v>Expert</v>
      </c>
      <c r="L10" t="str">
        <f t="shared" si="4"/>
        <v>Priority</v>
      </c>
      <c r="M10" t="str">
        <f t="shared" si="5"/>
        <v>Review</v>
      </c>
      <c r="N10" t="str">
        <f t="shared" si="6"/>
        <v>Low</v>
      </c>
      <c r="O10" s="4">
        <f t="shared" si="7"/>
        <v>1600</v>
      </c>
      <c r="P10" t="str">
        <f t="shared" si="8"/>
        <v>Review</v>
      </c>
    </row>
    <row r="11" spans="1:16">
      <c r="A11" s="1" t="s">
        <v>27</v>
      </c>
      <c r="B11" s="1" t="s">
        <v>28</v>
      </c>
      <c r="C11" s="1">
        <v>33</v>
      </c>
      <c r="D11" s="1" t="s">
        <v>7</v>
      </c>
      <c r="E11" s="1">
        <v>30000</v>
      </c>
      <c r="F11" s="1">
        <v>6</v>
      </c>
      <c r="G11" s="1" t="str">
        <f t="shared" si="0"/>
        <v>Experienced</v>
      </c>
      <c r="H11" t="str">
        <f t="shared" si="1"/>
        <v>£40k or below</v>
      </c>
      <c r="I11" t="str">
        <f t="shared" si="2"/>
        <v>Low</v>
      </c>
      <c r="J11" t="b">
        <f t="shared" si="3"/>
        <v>0</v>
      </c>
      <c r="K11" t="str" cm="1">
        <f t="array" ref="K11">_xlfn.IFS(F11&gt;15,"Expert",F11&gt;10,"Senior",F11&gt;=5,"Experienced",TRUE,"Junior")</f>
        <v>Experienced</v>
      </c>
      <c r="L11" t="str">
        <f t="shared" si="4"/>
        <v>Standard</v>
      </c>
      <c r="M11" t="str">
        <f t="shared" si="5"/>
        <v>Review</v>
      </c>
      <c r="N11" t="str">
        <f t="shared" si="6"/>
        <v>Low</v>
      </c>
      <c r="O11" s="4">
        <f t="shared" si="7"/>
        <v>5000</v>
      </c>
      <c r="P11" t="str">
        <f t="shared" si="8"/>
        <v>No Review</v>
      </c>
    </row>
    <row r="12" spans="1:16">
      <c r="A12" s="2">
        <f>COUNT(A2:A11)</f>
        <v>0</v>
      </c>
      <c r="C12" s="2" t="s">
        <v>34</v>
      </c>
      <c r="E12" s="2" t="s">
        <v>30</v>
      </c>
    </row>
    <row r="13" spans="1:16">
      <c r="A13" s="2">
        <f>COUNTA(A2:A11)</f>
        <v>10</v>
      </c>
      <c r="C13" s="2">
        <f>COUNTIF(C2:C11,"&gt;40")</f>
        <v>3</v>
      </c>
      <c r="D13" s="2">
        <f>COUNTIF(D2:D11, "IT")</f>
        <v>3</v>
      </c>
      <c r="E13" s="2" t="s">
        <v>32</v>
      </c>
      <c r="F13" s="2">
        <f>COUNTIFS(D2:D11,"IT",F2:F11,"&gt;5")</f>
        <v>2</v>
      </c>
      <c r="G13" s="2">
        <f>COUNTIF(G2:G11, "Senior")</f>
        <v>3</v>
      </c>
      <c r="J13" s="2">
        <f>COUNTIF(J2:J11,"TRUE")</f>
        <v>2</v>
      </c>
      <c r="K13" s="2">
        <f>COUNTIF(K2:K11, "Expert")</f>
        <v>1</v>
      </c>
      <c r="L13" s="2">
        <f>COUNTIF(L2:L11,"standard")</f>
        <v>8</v>
      </c>
      <c r="M13">
        <f>COUNTIF(M2:M11, "Review")</f>
        <v>6</v>
      </c>
      <c r="N13" s="2">
        <f>COUNTIF(N2:N11,"High")</f>
        <v>2</v>
      </c>
      <c r="P13" s="2">
        <f>COUNTIF(P2:P11,"Review")</f>
        <v>2</v>
      </c>
    </row>
    <row r="14" spans="1:16">
      <c r="D14" s="2">
        <f>COUNTIF(D2:D11, "Finance")</f>
        <v>3</v>
      </c>
      <c r="E14" s="2" t="s">
        <v>31</v>
      </c>
      <c r="G14" s="2">
        <f>COUNTIF(G2:G11, "Experienced")</f>
        <v>4</v>
      </c>
      <c r="H14" s="2">
        <f>COUNTIF(H2:H11,"Above £40k")</f>
        <v>4</v>
      </c>
      <c r="I14" s="2">
        <f>COUNTIF(I2:I11,"High")</f>
        <v>2</v>
      </c>
      <c r="J14" s="2">
        <f>COUNTIF(J2:J11,"FALSE")</f>
        <v>8</v>
      </c>
      <c r="K14" s="2">
        <f>COUNTIF(K2:K11,"Senior")</f>
        <v>2</v>
      </c>
      <c r="L14" s="2">
        <f>+COUNTIF(L2:L11,"Priority")</f>
        <v>2</v>
      </c>
      <c r="M14">
        <f>COUNTIF(M2:M11, "No Review")</f>
        <v>4</v>
      </c>
      <c r="N14" s="2">
        <f>COUNTIF(N2:N11,"Medium")</f>
        <v>5</v>
      </c>
      <c r="P14" s="2">
        <f>COUNTIF(P2:P11,"No Review")</f>
        <v>8</v>
      </c>
    </row>
    <row r="15" spans="1:16">
      <c r="D15" s="2">
        <f>AVERAGEIF(D2:D11,"IT",E2:E11)</f>
        <v>40666.666666666664</v>
      </c>
      <c r="E15" s="2" t="s">
        <v>33</v>
      </c>
      <c r="G15" s="2">
        <f>COUNTIF(G2:G11,"Junior")</f>
        <v>3</v>
      </c>
      <c r="I15" s="2">
        <f>COUNTIF(I2:I11,"Medium")</f>
        <v>5</v>
      </c>
      <c r="K15" s="2">
        <f>COUNTIF(K2:K11,"Experienced")</f>
        <v>4</v>
      </c>
      <c r="N15" s="2">
        <f>COUNTIF(N2:N11,"Low")</f>
        <v>3</v>
      </c>
    </row>
    <row r="16" spans="1:16">
      <c r="D16" s="2">
        <f>AVERAGEIF(D2:D11,"Finance",E2:E11)</f>
        <v>41000</v>
      </c>
      <c r="I16" s="2">
        <f>COUNTIF(I3:I11,"low")</f>
        <v>3</v>
      </c>
      <c r="K16" s="2">
        <f>COUNTIF(K2:K11,"Junior")</f>
        <v>3</v>
      </c>
    </row>
    <row r="18" spans="5:7">
      <c r="E18" s="2">
        <f>SUMIF(D2:D11,"IT",E2:E11)</f>
        <v>122000</v>
      </c>
      <c r="F18" s="2">
        <f>COUNTIFS(D2:D11,"Finance",F2:F11,"&gt;=5")</f>
        <v>2</v>
      </c>
    </row>
    <row r="19" spans="5:7">
      <c r="E19" s="2">
        <f>SUMIFS(E2:E11,D2:D11,"IT",F2:F11,"&gt;=5")</f>
        <v>83000</v>
      </c>
    </row>
    <row r="20" spans="5:7">
      <c r="E20" s="2">
        <f>AVERAGEIFS(E2:E11,D2:D11,"Finance",F2:F11,"&gt;=5")</f>
        <v>35500</v>
      </c>
    </row>
    <row r="21" spans="5:7">
      <c r="E21" s="2">
        <f>COUNTIFS(D2:D11,"Finance",E2:E11,"&gt;40000")</f>
        <v>2</v>
      </c>
    </row>
    <row r="23" spans="5:7">
      <c r="E23" s="2">
        <f>COUNTIFS(D2:D11,"IT",E2:E11,"&gt;40000",F2:F11,"&gt;5")</f>
        <v>1</v>
      </c>
      <c r="F23" s="2">
        <f>SUMIFS(E2:E11,D2:D11,"IT",F2:F11,"&gt;5")</f>
        <v>83000</v>
      </c>
      <c r="G23" s="2"/>
    </row>
    <row r="25" spans="5:7">
      <c r="E25" s="2">
        <f>AVERAGEIFS(E2:E11,D2:D11,"IT",F2:F11,"&gt;5")</f>
        <v>41500</v>
      </c>
    </row>
    <row r="27" spans="5:7">
      <c r="E27" s="2">
        <f>AVERAGEIFS(E2:E11,D2:D11,"Finance",F2:F11,"&gt;=5")</f>
        <v>35500</v>
      </c>
    </row>
  </sheetData>
  <sortState xmlns:xlrd2="http://schemas.microsoft.com/office/spreadsheetml/2017/richdata2" ref="E2:E11">
    <sortCondition descending="1" ref="E1:E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2026-08-18T12:07:43Z</dcterms:created>
  <dcterms:modified xsi:type="dcterms:W3CDTF">2026-08-27T17:12:06Z</dcterms:modified>
</cp:coreProperties>
</file>