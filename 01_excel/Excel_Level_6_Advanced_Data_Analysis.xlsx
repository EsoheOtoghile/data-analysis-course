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7.xml" ContentType="application/vnd.openxmlformats-officedocument.spreadsheetml.queryTable+xml"/>
  <Override PartName="/xl/tables/table11.xml" ContentType="application/vnd.openxmlformats-officedocument.spreadsheetml.table+xml"/>
  <Override PartName="/xl/queryTables/queryTable8.xml" ContentType="application/vnd.openxmlformats-officedocument.spreadsheetml.queryTable+xml"/>
  <Override PartName="/xl/tables/table12.xml" ContentType="application/vnd.openxmlformats-officedocument.spreadsheetml.table+xml"/>
  <Override PartName="/xl/queryTables/queryTable9.xml" ContentType="application/vnd.openxmlformats-officedocument.spreadsheetml.queryTable+xml"/>
  <Override PartName="/xl/tables/table13.xml" ContentType="application/vnd.openxmlformats-officedocument.spreadsheetml.table+xml"/>
  <Override PartName="/xl/queryTables/queryTable10.xml" ContentType="application/vnd.openxmlformats-officedocument.spreadsheetml.queryTable+xml"/>
  <Override PartName="/xl/tables/table1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DAC\"/>
    </mc:Choice>
  </mc:AlternateContent>
  <xr:revisionPtr revIDLastSave="0" documentId="13_ncr:1_{E6E7D91C-8C43-4CE9-BCB1-C156F80207BE}" xr6:coauthVersionLast="47" xr6:coauthVersionMax="47" xr10:uidLastSave="{00000000-0000-0000-0000-000000000000}"/>
  <bookViews>
    <workbookView xWindow="-108" yWindow="-108" windowWidth="23256" windowHeight="12456" firstSheet="19" activeTab="21" xr2:uid="{93C085EF-872D-4EB3-8F42-6D3F9DB86339}"/>
  </bookViews>
  <sheets>
    <sheet name="Department_Summary" sheetId="11" r:id="rId1"/>
    <sheet name="Top_3_Salary_Analysis" sheetId="13" r:id="rId2"/>
    <sheet name="Department_Lookup" sheetId="14" r:id="rId3"/>
    <sheet name="Salary_Parameter_Filter" sheetId="17" r:id="rId4"/>
    <sheet name="Error_Handling_Practice" sheetId="18" r:id="rId5"/>
    <sheet name="Cleaned_Data" sheetId="2" r:id="rId6"/>
    <sheet name="New_Employees (2)" sheetId="16" r:id="rId7"/>
    <sheet name="New_Employees" sheetId="15" r:id="rId8"/>
    <sheet name="Raw_Data" sheetId="1" r:id="rId9"/>
    <sheet name="Dynamic_Arrays" sheetId="3" r:id="rId10"/>
    <sheet name="Advanced_Lookups" sheetId="5" r:id="rId11"/>
    <sheet name="Date_Time_Analysis" sheetId="6" r:id="rId12"/>
    <sheet name="Conditional_Aggregation" sheetId="7" r:id="rId13"/>
    <sheet name="Validation_Controls" sheetId="8" r:id="rId14"/>
    <sheet name="Scenario Summary" sheetId="10" r:id="rId15"/>
    <sheet name="What_If_Analysis" sheetId="9" r:id="rId16"/>
    <sheet name="Sales_Commission_Analysis" sheetId="23" r:id="rId17"/>
    <sheet name="Sales_Performance_Analysis" sheetId="22" r:id="rId18"/>
    <sheet name="Monthly_Sales_Pivot_Practice" sheetId="21" r:id="rId19"/>
    <sheet name="Monthly_Sales_Table" sheetId="20" r:id="rId20"/>
    <sheet name="Monthly_Sales." sheetId="19" r:id="rId21"/>
    <sheet name="Level_6_Final_Project" sheetId="24" r:id="rId22"/>
  </sheets>
  <definedNames>
    <definedName name="_xlchart.v1.0" hidden="1">Level_6_Final_Project!$A$20</definedName>
    <definedName name="_xlchart.v1.1" hidden="1">Level_6_Final_Project!$A$21</definedName>
    <definedName name="_xlchart.v1.10" hidden="1">Level_6_Final_Project!$E$24</definedName>
    <definedName name="_xlchart.v1.2" hidden="1">Level_6_Final_Project!$A$22</definedName>
    <definedName name="_xlchart.v1.3" hidden="1">Level_6_Final_Project!$A$23</definedName>
    <definedName name="_xlchart.v1.4" hidden="1">Level_6_Final_Project!$A$24</definedName>
    <definedName name="_xlchart.v1.5" hidden="1">Level_6_Final_Project!$A$25</definedName>
    <definedName name="_xlchart.v1.6" hidden="1">Level_6_Final_Project!$E$20</definedName>
    <definedName name="_xlchart.v1.7" hidden="1">Level_6_Final_Project!$E$21</definedName>
    <definedName name="_xlchart.v1.8" hidden="1">Level_6_Final_Project!$E$22</definedName>
    <definedName name="_xlchart.v1.9" hidden="1">Level_6_Final_Project!$E$23</definedName>
    <definedName name="Department_List">Validation_Controls!$J$2:$J$4</definedName>
    <definedName name="ExternalData_1" localSheetId="5" hidden="1">Cleaned_Data!$A$1:$J$14</definedName>
    <definedName name="ExternalData_1" localSheetId="19" hidden="1">Monthly_Sales_Table!$A$1:$C$13</definedName>
    <definedName name="ExternalData_1" localSheetId="6" hidden="1">'New_Employees (2)'!$A$1:$E$4</definedName>
    <definedName name="ExternalData_2" localSheetId="0" hidden="1">Department_Summary!$A$1:$D$4</definedName>
    <definedName name="ExternalData_2" localSheetId="4" hidden="1">Error_Handling_Practice!$A$1:$L$14</definedName>
    <definedName name="ExternalData_2" localSheetId="18" hidden="1">Monthly_Sales_Pivot_Practice!$A$1:$D$5</definedName>
    <definedName name="ExternalData_2" localSheetId="3" hidden="1">Salary_Parameter_Filter!$A$1:$J$2</definedName>
    <definedName name="ExternalData_2" localSheetId="1" hidden="1">Top_3_Salary_Analysis!$A$1:$N$4</definedName>
    <definedName name="ExternalData_3" localSheetId="17" hidden="1">Sales_Performance_Analysis!$A$1:$D$13</definedName>
    <definedName name="ExternalData_4" localSheetId="16" hidden="1">Sales_Commission_Analysis!$A$1:$E$13</definedName>
    <definedName name="Maximum_Salary">Validation_Controls!$A$5</definedName>
    <definedName name="Minimum_Salary">Validation_Controls!$A$2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5" i="24" l="1"/>
  <c r="C25" i="24"/>
  <c r="E24" i="24"/>
  <c r="E23" i="24"/>
  <c r="E22" i="24"/>
  <c r="E21" i="24"/>
  <c r="C24" i="24"/>
  <c r="C23" i="24"/>
  <c r="C22" i="24"/>
  <c r="C21" i="24"/>
  <c r="C5" i="24"/>
  <c r="A5" i="24"/>
  <c r="C15" i="24"/>
  <c r="C12" i="24"/>
  <c r="C13" i="24"/>
  <c r="C14" i="24"/>
  <c r="C11" i="24"/>
  <c r="G5" i="24"/>
  <c r="E5" i="24"/>
  <c r="B3" i="9"/>
  <c r="E1" i="9" s="1"/>
  <c r="L11" i="8"/>
  <c r="L8" i="8"/>
  <c r="L5" i="8"/>
  <c r="N1" i="8" a="1"/>
  <c r="N1" i="8" s="1"/>
  <c r="G1" i="8"/>
  <c r="E2" i="8"/>
  <c r="C2" i="8"/>
  <c r="BV2" i="7"/>
  <c r="BQ2" i="7"/>
  <c r="BM2" i="7"/>
  <c r="BH2" i="7"/>
  <c r="BE2" i="7"/>
  <c r="BB2" i="7"/>
  <c r="AY2" i="7"/>
  <c r="AV2" i="7"/>
  <c r="AS2" i="7"/>
  <c r="AP2" i="7"/>
  <c r="AM2" i="7"/>
  <c r="AI2" i="7"/>
  <c r="AE2" i="7"/>
  <c r="AA2" i="7"/>
  <c r="V2" i="7"/>
  <c r="R2" i="7"/>
  <c r="N2" i="7"/>
  <c r="J2" i="7"/>
  <c r="F2" i="7"/>
  <c r="B2" i="7"/>
  <c r="AA85" i="6"/>
  <c r="AB85" i="6" s="1"/>
  <c r="Z81" i="6"/>
  <c r="Y81" i="6"/>
  <c r="Z77" i="6"/>
  <c r="Z73" i="6"/>
  <c r="Y69" i="6"/>
  <c r="AC69" i="6" s="1"/>
  <c r="AD69" i="6" s="1"/>
  <c r="X65" i="6"/>
  <c r="AA58" i="6"/>
  <c r="AA54" i="6"/>
  <c r="Z54" i="6"/>
  <c r="Y54" i="6"/>
  <c r="Z50" i="6"/>
  <c r="Z46" i="6"/>
  <c r="Y42" i="6"/>
  <c r="Z38" i="6"/>
  <c r="Z34" i="6"/>
  <c r="AC30" i="6"/>
  <c r="Y30" i="6"/>
  <c r="Z30" i="6" s="1"/>
  <c r="AA30" i="6" s="1"/>
  <c r="AB30" i="6" s="1"/>
  <c r="AA26" i="6"/>
  <c r="Y22" i="6"/>
  <c r="Y18" i="6"/>
  <c r="Z14" i="6"/>
  <c r="Y10" i="6"/>
  <c r="Y6" i="6"/>
  <c r="Y2" i="6"/>
  <c r="U2" i="6"/>
  <c r="T2" i="6"/>
  <c r="S2" i="6"/>
  <c r="P2" i="6"/>
  <c r="O2" i="6"/>
  <c r="M2" i="6"/>
  <c r="L2" i="6"/>
  <c r="K2" i="6"/>
  <c r="J2" i="6"/>
  <c r="I2" i="6"/>
  <c r="F2" i="6"/>
  <c r="B2" i="6"/>
  <c r="C26" i="5" a="1"/>
  <c r="C26" i="5" s="1"/>
  <c r="C21" i="5" a="1"/>
  <c r="C21" i="5" s="1"/>
  <c r="AB10" i="5" a="1"/>
  <c r="AB10" i="5" s="1"/>
  <c r="Z11" i="5"/>
  <c r="U11" i="5"/>
  <c r="S6" i="5"/>
  <c r="S2" i="5"/>
  <c r="P2" i="5" a="1"/>
  <c r="P2" i="5" s="1"/>
  <c r="N2" i="5" a="1"/>
  <c r="N2" i="5" s="1"/>
  <c r="L2" i="5"/>
  <c r="J2" i="5"/>
  <c r="F3" i="5"/>
  <c r="F2" i="5"/>
  <c r="D5" i="5"/>
  <c r="B2" i="5"/>
  <c r="A49" i="2" a="1"/>
  <c r="A49" i="2" s="1"/>
  <c r="L30" i="2" a="1"/>
  <c r="L30" i="2" s="1"/>
  <c r="A33" i="2" a="1"/>
  <c r="A33" i="2" s="1"/>
  <c r="T1" i="2" a="1"/>
  <c r="T1" i="2" s="1"/>
  <c r="L1" i="2" a="1"/>
  <c r="L1" i="2" s="1"/>
  <c r="M2" i="3" a="1"/>
  <c r="M2" i="3" s="1"/>
  <c r="J4" i="3" a="1"/>
  <c r="J4" i="3" s="1"/>
  <c r="A12" i="3" a="1"/>
  <c r="A12" i="3" s="1"/>
  <c r="A7" i="3" a="1"/>
  <c r="A7" i="3" s="1"/>
  <c r="A2" i="3" a="1"/>
  <c r="A2" i="3" s="1"/>
  <c r="G1" i="9" l="1"/>
  <c r="AE69" i="6"/>
  <c r="AF69" i="6" s="1"/>
  <c r="AG69" i="6" s="1"/>
  <c r="AA69" i="6"/>
  <c r="V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C9D27F-BACB-47EC-8142-ACEFB8A2E676}" keepAlive="1" name="Query - Department_Lookup" description="Connection to the 'Department_Lookup' query in the workbook." type="5" refreshedVersion="0" background="1">
    <dbPr connection="Provider=Microsoft.Mashup.OleDb.1;Data Source=$Workbook$;Location=Department_Lookup;Extended Properties=&quot;&quot;" command="SELECT * FROM [Department_Lookup]"/>
  </connection>
  <connection id="2" xr16:uid="{8BF833EB-DAB9-40FD-BF5C-D54FB044D8A4}" keepAlive="1" name="Query - Department_Summary" description="Connection to the 'Department_Summary' query in the workbook." type="5" refreshedVersion="7" background="1" saveData="1">
    <dbPr connection="Provider=Microsoft.Mashup.OleDb.1;Data Source=$Workbook$;Location=Department_Summary;Extended Properties=&quot;&quot;" command="SELECT * FROM [Department_Summary]"/>
  </connection>
  <connection id="3" xr16:uid="{D87D06C9-36A6-4594-8C8B-E714E2F72379}" keepAlive="1" name="Query - Error_Handling_Practice" description="Connection to the 'Error_Handling_Practice' query in the workbook." type="5" refreshedVersion="7" background="1" saveData="1">
    <dbPr connection="Provider=Microsoft.Mashup.OleDb.1;Data Source=$Workbook$;Location=Error_Handling_Practice;Extended Properties=&quot;&quot;" command="SELECT * FROM [Error_Handling_Practice]"/>
  </connection>
  <connection id="4" xr16:uid="{735DCDE6-36F6-42D7-8573-55A0C43331DB}" keepAlive="1" name="Query - Minimum_Salary" description="Connection to the 'Minimum_Salary' query in the workbook." type="5" refreshedVersion="0" background="1">
    <dbPr connection="Provider=Microsoft.Mashup.OleDb.1;Data Source=$Workbook$;Location=Minimum_Salary;Extended Properties=&quot;&quot;" command="SELECT * FROM [Minimum_Salary]"/>
  </connection>
  <connection id="5" xr16:uid="{1AE3A77F-503C-4DEA-9FE6-097243FA6D6B}" keepAlive="1" name="Query - Monthly_Sales_Pivot_Practice" description="Connection to the 'Monthly_Sales_Pivot_Practice' query in the workbook." type="5" refreshedVersion="7" background="1" saveData="1">
    <dbPr connection="Provider=Microsoft.Mashup.OleDb.1;Data Source=$Workbook$;Location=Monthly_Sales_Pivot_Practice;Extended Properties=&quot;&quot;" command="SELECT * FROM [Monthly_Sales_Pivot_Practice]"/>
  </connection>
  <connection id="6" xr16:uid="{6E8ECAF2-C703-44DE-9896-644B699AE1BC}" keepAlive="1" name="Query - Monthly_Sales_Table" description="Connection to the 'Monthly_Sales_Table' query in the workbook." type="5" refreshedVersion="7" background="1" saveData="1">
    <dbPr connection="Provider=Microsoft.Mashup.OleDb.1;Data Source=$Workbook$;Location=Monthly_Sales_Table;Extended Properties=&quot;&quot;" command="SELECT * FROM [Monthly_Sales_Table]"/>
  </connection>
  <connection id="7" xr16:uid="{4FFDBF58-806F-42CF-A29A-FFAF0F9ECBAE}" keepAlive="1" name="Query - New_Employees" description="Connection to the 'New_Employees' query in the workbook." type="5" refreshedVersion="7" background="1" saveData="1">
    <dbPr connection="Provider=Microsoft.Mashup.OleDb.1;Data Source=$Workbook$;Location=New_Employees;Extended Properties=&quot;&quot;" command="SELECT * FROM [New_Employees]"/>
  </connection>
  <connection id="8" xr16:uid="{C3FD0E37-C6E6-41D3-9431-E53C3307B05C}" keepAlive="1" name="Query - Raw_Employees" description="Connection to the 'Raw_Employees' query in the workbook." type="5" refreshedVersion="7" background="1" saveData="1">
    <dbPr connection="Provider=Microsoft.Mashup.OleDb.1;Data Source=$Workbook$;Location=Raw_Employees;Extended Properties=&quot;&quot;" command="SELECT * FROM [Raw_Employees]"/>
  </connection>
  <connection id="9" xr16:uid="{FDE9B8AC-5C9A-4635-9EA3-092F52F5C5B7}" keepAlive="1" name="Query - Salary_Parameter_Filter" description="Connection to the 'Salary_Parameter_Filter' query in the workbook." type="5" refreshedVersion="7" background="1" saveData="1">
    <dbPr connection="Provider=Microsoft.Mashup.OleDb.1;Data Source=$Workbook$;Location=Salary_Parameter_Filter;Extended Properties=&quot;&quot;" command="SELECT * FROM [Salary_Parameter_Filter]"/>
  </connection>
  <connection id="10" xr16:uid="{5519317D-C440-4B48-90C2-6CDC425F6113}" keepAlive="1" name="Query - Sales_Commission_Analysis" description="Connection to the 'Sales_Commission_Analysis' query in the workbook." type="5" refreshedVersion="7" background="1" saveData="1">
    <dbPr connection="Provider=Microsoft.Mashup.OleDb.1;Data Source=$Workbook$;Location=Sales_Commission_Analysis;Extended Properties=&quot;&quot;" command="SELECT * FROM [Sales_Commission_Analysis]"/>
  </connection>
  <connection id="11" xr16:uid="{F8BD9784-1E22-4B3E-BB47-A2F924058D0A}" keepAlive="1" name="Query - Sales_Performance_Analysis" description="Connection to the 'Sales_Performance_Analysis' query in the workbook." type="5" refreshedVersion="7" background="1" saveData="1">
    <dbPr connection="Provider=Microsoft.Mashup.OleDb.1;Data Source=$Workbook$;Location=Sales_Performance_Analysis;Extended Properties=&quot;&quot;" command="SELECT * FROM [Sales_Performance_Analysis]"/>
  </connection>
  <connection id="12" xr16:uid="{3091328C-B315-4E5C-A359-DC01D290000E}" keepAlive="1" name="Query - Top_3_Salary_Analysis" description="Connection to the 'Top_3_Salary_Analysis' query in the workbook." type="5" refreshedVersion="7" background="1" saveData="1">
    <dbPr connection="Provider=Microsoft.Mashup.OleDb.1;Data Source=$Workbook$;Location=Top_3_Salary_Analysis;Extended Properties=&quot;&quot;" command="SELECT * FROM [Top_3_Salary_Analysi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<sst xmlns="http://schemas.openxmlformats.org/spreadsheetml/2006/main" count="735" uniqueCount="242">
  <si>
    <t>Employee_ID</t>
  </si>
  <si>
    <t>Name</t>
  </si>
  <si>
    <t>Department</t>
  </si>
  <si>
    <t>Salary</t>
  </si>
  <si>
    <t>E001</t>
  </si>
  <si>
    <t>sarah johnson</t>
  </si>
  <si>
    <t>FINANCE</t>
  </si>
  <si>
    <t>E002</t>
  </si>
  <si>
    <t>david smith</t>
  </si>
  <si>
    <t>I.T</t>
  </si>
  <si>
    <t>E003</t>
  </si>
  <si>
    <t>michael brown</t>
  </si>
  <si>
    <t>HUMAN RESOURCES</t>
  </si>
  <si>
    <t>E004</t>
  </si>
  <si>
    <t>aisha bello</t>
  </si>
  <si>
    <t>Finance</t>
  </si>
  <si>
    <t>E005</t>
  </si>
  <si>
    <t>james wilson</t>
  </si>
  <si>
    <t>Information Technology</t>
  </si>
  <si>
    <t>Sarah Johnson</t>
  </si>
  <si>
    <t>David Smith</t>
  </si>
  <si>
    <t>IT</t>
  </si>
  <si>
    <t>Michael Brown</t>
  </si>
  <si>
    <t>HR</t>
  </si>
  <si>
    <t>Aisha Bello</t>
  </si>
  <si>
    <t>James Wilson</t>
  </si>
  <si>
    <t>E006</t>
  </si>
  <si>
    <t>emily davies</t>
  </si>
  <si>
    <t>E007</t>
  </si>
  <si>
    <t>daniel thomas</t>
  </si>
  <si>
    <t>Emily Davies</t>
  </si>
  <si>
    <t>Daniel Thomas</t>
  </si>
  <si>
    <t>E008</t>
  </si>
  <si>
    <t>grace taylor</t>
  </si>
  <si>
    <t>Tech</t>
  </si>
  <si>
    <t>Grace Taylor</t>
  </si>
  <si>
    <t>E009</t>
  </si>
  <si>
    <t>olive martin</t>
  </si>
  <si>
    <t>Olive Martin</t>
  </si>
  <si>
    <t>Location</t>
  </si>
  <si>
    <t>London, UK</t>
  </si>
  <si>
    <t>Manchester, UK</t>
  </si>
  <si>
    <t>Birmingham, UK</t>
  </si>
  <si>
    <t>Leeds, UK</t>
  </si>
  <si>
    <t>Liverpool, UK</t>
  </si>
  <si>
    <t>Bristol, UK</t>
  </si>
  <si>
    <t>Sheffield, UK</t>
  </si>
  <si>
    <t>Glasgow, UK</t>
  </si>
  <si>
    <t>Edinburgh, UK</t>
  </si>
  <si>
    <t>Salary_Band</t>
  </si>
  <si>
    <t>Bonus</t>
  </si>
  <si>
    <t>City</t>
  </si>
  <si>
    <t>Country</t>
  </si>
  <si>
    <t>Standard Salary</t>
  </si>
  <si>
    <t>London</t>
  </si>
  <si>
    <t xml:space="preserve"> UK</t>
  </si>
  <si>
    <t>High Salary</t>
  </si>
  <si>
    <t>Manchester</t>
  </si>
  <si>
    <t>Birmingham</t>
  </si>
  <si>
    <t>Leeds</t>
  </si>
  <si>
    <t>Liverpool</t>
  </si>
  <si>
    <t>Bristol</t>
  </si>
  <si>
    <t>Sheffield</t>
  </si>
  <si>
    <t>Glasgow</t>
  </si>
  <si>
    <t>Missing Salary</t>
  </si>
  <si>
    <t>E010</t>
  </si>
  <si>
    <t>henry jones</t>
  </si>
  <si>
    <t>Cambridge, UK</t>
  </si>
  <si>
    <t>Henry Jones</t>
  </si>
  <si>
    <t>Cambridge</t>
  </si>
  <si>
    <t>IT Employees</t>
  </si>
  <si>
    <t>Department Selection</t>
  </si>
  <si>
    <t xml:space="preserve">Mini Challenge 1 HR Employees </t>
  </si>
  <si>
    <t>Mini Challenge 3 — Unique Departments A-Z</t>
  </si>
  <si>
    <t>Employee ID Lookup</t>
  </si>
  <si>
    <t>Position</t>
  </si>
  <si>
    <t>INDEX Practice</t>
  </si>
  <si>
    <t>7th Employee Salary</t>
  </si>
  <si>
    <t>Salary Lookup</t>
  </si>
  <si>
    <t>Name Lookup</t>
  </si>
  <si>
    <t>Department Lookup</t>
  </si>
  <si>
    <t>XMATCH Position</t>
  </si>
  <si>
    <t>INDEX +XMATCH Names</t>
  </si>
  <si>
    <t>INDEX + XMATCH Department</t>
  </si>
  <si>
    <t>Advanced XLOOKUP</t>
  </si>
  <si>
    <t>Employee Name</t>
  </si>
  <si>
    <t>Name Search</t>
  </si>
  <si>
    <t>*Wilson</t>
  </si>
  <si>
    <t>Employee ID</t>
  </si>
  <si>
    <t>Employee</t>
  </si>
  <si>
    <t>Sale</t>
  </si>
  <si>
    <t>James</t>
  </si>
  <si>
    <t>Sarah</t>
  </si>
  <si>
    <t>David</t>
  </si>
  <si>
    <t>Last James Sale</t>
  </si>
  <si>
    <t>Band</t>
  </si>
  <si>
    <t>Low</t>
  </si>
  <si>
    <t>Medium</t>
  </si>
  <si>
    <t>Good</t>
  </si>
  <si>
    <t>Very Good</t>
  </si>
  <si>
    <t>Excellent</t>
  </si>
  <si>
    <t>Binary Search Result</t>
  </si>
  <si>
    <t>Field</t>
  </si>
  <si>
    <t>Result</t>
  </si>
  <si>
    <t>Requested Field</t>
  </si>
  <si>
    <t>Date</t>
  </si>
  <si>
    <t>Excel Serial Number</t>
  </si>
  <si>
    <t>Start Date</t>
  </si>
  <si>
    <t>End Date</t>
  </si>
  <si>
    <t>Days Between</t>
  </si>
  <si>
    <t>Year</t>
  </si>
  <si>
    <t>Month</t>
  </si>
  <si>
    <t>Day</t>
  </si>
  <si>
    <t>Month Name</t>
  </si>
  <si>
    <t>Day Name</t>
  </si>
  <si>
    <t>Today's Date</t>
  </si>
  <si>
    <t>Current Date &amp; Time</t>
  </si>
  <si>
    <t>Years of Service</t>
  </si>
  <si>
    <t>Remaining Months</t>
  </si>
  <si>
    <t>Remaining Days</t>
  </si>
  <si>
    <t>Length of Service</t>
  </si>
  <si>
    <t>Month End</t>
  </si>
  <si>
    <t>3 Months Later</t>
  </si>
  <si>
    <t>5 Working Days Later</t>
  </si>
  <si>
    <t>Working Days</t>
  </si>
  <si>
    <t>Holiday</t>
  </si>
  <si>
    <t>Weekday Number</t>
  </si>
  <si>
    <t>Day Type</t>
  </si>
  <si>
    <t>Constructed Date</t>
  </si>
  <si>
    <t>Month Number</t>
  </si>
  <si>
    <t>Quarter Number</t>
  </si>
  <si>
    <t>Quarter</t>
  </si>
  <si>
    <t>Quarter &amp; Year</t>
  </si>
  <si>
    <t>Direct Quarter-Year</t>
  </si>
  <si>
    <t>Company Holidays</t>
  </si>
  <si>
    <t>Result Date</t>
  </si>
  <si>
    <t>Time</t>
  </si>
  <si>
    <t>Excel Value</t>
  </si>
  <si>
    <t>Start Time</t>
  </si>
  <si>
    <t>End Time</t>
  </si>
  <si>
    <t>Hours Worked</t>
  </si>
  <si>
    <t>Hour</t>
  </si>
  <si>
    <t>Minute</t>
  </si>
  <si>
    <t>Second</t>
  </si>
  <si>
    <t>Constructed Time</t>
  </si>
  <si>
    <t>Duration</t>
  </si>
  <si>
    <t>Decimal Hours</t>
  </si>
  <si>
    <t>Hourly Rate</t>
  </si>
  <si>
    <t>Total Pay</t>
  </si>
  <si>
    <t>Overtime Hours</t>
  </si>
  <si>
    <t>Overtime Pay</t>
  </si>
  <si>
    <t>Regular Hours</t>
  </si>
  <si>
    <t>Regular Pay</t>
  </si>
  <si>
    <t>Final Total Pay</t>
  </si>
  <si>
    <t>Date &amp; Time</t>
  </si>
  <si>
    <t>Start Date &amp; Time</t>
  </si>
  <si>
    <t>End Date &amp; Time</t>
  </si>
  <si>
    <t>Hours</t>
  </si>
  <si>
    <t>Timestamp</t>
  </si>
  <si>
    <t>Date Only</t>
  </si>
  <si>
    <t>Time Only</t>
  </si>
  <si>
    <t>Total Salary</t>
  </si>
  <si>
    <t>Minimum Salary</t>
  </si>
  <si>
    <t>Employee Count</t>
  </si>
  <si>
    <t>Average Salary</t>
  </si>
  <si>
    <t>Maximum Salary</t>
  </si>
  <si>
    <t>Department 1</t>
  </si>
  <si>
    <t>Department 2</t>
  </si>
  <si>
    <t>Starts With</t>
  </si>
  <si>
    <t>D</t>
  </si>
  <si>
    <t>Contains</t>
  </si>
  <si>
    <t>son</t>
  </si>
  <si>
    <t>Excluded Department</t>
  </si>
  <si>
    <t>Data Quality Check</t>
  </si>
  <si>
    <t>Count</t>
  </si>
  <si>
    <t>Salary Recorded</t>
  </si>
  <si>
    <t>Employees Above Minimum</t>
  </si>
  <si>
    <t>Employees Within Salary Range</t>
  </si>
  <si>
    <t>Department List</t>
  </si>
  <si>
    <t>Select Department</t>
  </si>
  <si>
    <t>Current Salary</t>
  </si>
  <si>
    <t>Increase %</t>
  </si>
  <si>
    <t>New Salary</t>
  </si>
  <si>
    <t>$B$2</t>
  </si>
  <si>
    <t>$B$3</t>
  </si>
  <si>
    <t>Low Increase</t>
  </si>
  <si>
    <t>Created by Home on 06/10/2026</t>
  </si>
  <si>
    <t>Standard Increase</t>
  </si>
  <si>
    <t>High Increase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</si>
  <si>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</si>
  <si>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</si>
  <si>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</si>
  <si>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</si>
  <si>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</si>
  <si>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</si>
  <si>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</si>
  <si>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Total_Salary</t>
  </si>
  <si>
    <t>Employee_Count</t>
  </si>
  <si>
    <t>Average_Salary</t>
  </si>
  <si>
    <t>Row_Number</t>
  </si>
  <si>
    <t>Adjusted_Salary</t>
  </si>
  <si>
    <t>Salary_Increase</t>
  </si>
  <si>
    <t>Increase_Percentage</t>
  </si>
  <si>
    <t>Manager</t>
  </si>
  <si>
    <t>Sophia Green</t>
  </si>
  <si>
    <t>Robert King</t>
  </si>
  <si>
    <t>Laura White</t>
  </si>
  <si>
    <t>E011</t>
  </si>
  <si>
    <t>rachel adams</t>
  </si>
  <si>
    <t>Oxford, UK</t>
  </si>
  <si>
    <t>E012</t>
  </si>
  <si>
    <t>peter clark</t>
  </si>
  <si>
    <t>Cardiff, UK</t>
  </si>
  <si>
    <t>E013</t>
  </si>
  <si>
    <t>linda evans</t>
  </si>
  <si>
    <t>Nottingham, UK</t>
  </si>
  <si>
    <t>Rachel Adams</t>
  </si>
  <si>
    <t>Peter Clark</t>
  </si>
  <si>
    <t>Linda Evans</t>
  </si>
  <si>
    <t>Salary_Error_Test</t>
  </si>
  <si>
    <t>Safe_Bonus</t>
  </si>
  <si>
    <t>January</t>
  </si>
  <si>
    <t>February</t>
  </si>
  <si>
    <t>March</t>
  </si>
  <si>
    <t>Marketing</t>
  </si>
  <si>
    <t>Sales_Amount</t>
  </si>
  <si>
    <t>Sales_Performance</t>
  </si>
  <si>
    <t>High</t>
  </si>
  <si>
    <t>Sales_Commission</t>
  </si>
  <si>
    <t>EMPLOYEE &amp; SALES ANALYTICS DASHBOARD</t>
  </si>
  <si>
    <t>Excel Level 6 | Final Portfolio Project</t>
  </si>
  <si>
    <t>Total Employees</t>
  </si>
  <si>
    <t>Total Sales</t>
  </si>
  <si>
    <t>Total Commission</t>
  </si>
  <si>
    <t>DEPARTMENT PERFORMANCE ANALYSIS</t>
  </si>
  <si>
    <t>Department.</t>
  </si>
  <si>
    <t>Grand Total</t>
  </si>
  <si>
    <t>EMPLOYEE &amp; SALARY ANALYSIS</t>
  </si>
  <si>
    <t>KEY BUSINESS INSIGHTS</t>
  </si>
  <si>
    <t>Insight 1 — Sales Performance</t>
  </si>
  <si>
    <t>IT has the largest workforce with 5 employees (38.5% of total staff) and the highest departmental salary expenditure of £188,000.</t>
  </si>
  <si>
    <t>HR recorded the lowest sales (£28,000), representing 14.5% of total sales. This department may benefit from a review of its sales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</si>
</sst>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£&quot;#,##0;[Red]\-&quot;£&quot;#,##0"/>
    <numFmt numFmtId="164" formatCode="[h]:mm"/>
    <numFmt numFmtId="165" formatCode="&quot;£&quot;#,##0.00"/>
    <numFmt numFmtId="166" formatCode="[$-F400]h:mm:ss\ AM/PM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wrapText="1"/>
    </xf>
    <xf numFmtId="14" fontId="0" fillId="0" borderId="0" xfId="0" applyNumberFormat="1" applyAlignment="1">
      <alignment wrapText="1"/>
    </xf>
    <xf numFmtId="22" fontId="0" fillId="0" borderId="0" xfId="0" applyNumberFormat="1"/>
    <xf numFmtId="14" fontId="4" fillId="0" borderId="0" xfId="0" applyNumberFormat="1" applyFont="1"/>
    <xf numFmtId="0" fontId="4" fillId="0" borderId="0" xfId="0" applyFont="1"/>
    <xf numFmtId="0" fontId="0" fillId="0" borderId="0" xfId="0" applyFont="1"/>
    <xf numFmtId="14" fontId="1" fillId="0" borderId="0" xfId="0" applyNumberFormat="1" applyFont="1"/>
    <xf numFmtId="14" fontId="4" fillId="0" borderId="0" xfId="0" applyNumberFormat="1" applyFont="1" applyAlignment="1">
      <alignment vertical="center"/>
    </xf>
    <xf numFmtId="18" fontId="0" fillId="0" borderId="0" xfId="0" applyNumberFormat="1"/>
    <xf numFmtId="21" fontId="0" fillId="0" borderId="0" xfId="0" applyNumberFormat="1"/>
    <xf numFmtId="20" fontId="0" fillId="0" borderId="0" xfId="0" applyNumberFormat="1"/>
    <xf numFmtId="164" fontId="0" fillId="0" borderId="0" xfId="0" applyNumberFormat="1"/>
    <xf numFmtId="6" fontId="0" fillId="0" borderId="0" xfId="0" applyNumberFormat="1"/>
    <xf numFmtId="165" fontId="0" fillId="0" borderId="0" xfId="0" applyNumberFormat="1"/>
    <xf numFmtId="166" fontId="0" fillId="0" borderId="0" xfId="0" applyNumberFormat="1"/>
    <xf numFmtId="9" fontId="0" fillId="0" borderId="0" xfId="0" applyNumberFormat="1"/>
    <xf numFmtId="9" fontId="0" fillId="0" borderId="0" xfId="0" applyNumberFormat="1" applyAlignment="1">
      <alignment vertical="center" wrapText="1"/>
    </xf>
    <xf numFmtId="0" fontId="0" fillId="0" borderId="0" xfId="0" applyFill="1" applyBorder="1" applyAlignment="1"/>
    <xf numFmtId="9" fontId="0" fillId="0" borderId="0" xfId="0" applyNumberFormat="1" applyFill="1" applyBorder="1" applyAlignment="1"/>
    <xf numFmtId="0" fontId="0" fillId="0" borderId="2" xfId="0" applyFill="1" applyBorder="1" applyAlignment="1"/>
    <xf numFmtId="0" fontId="5" fillId="2" borderId="3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6" fillId="3" borderId="0" xfId="0" applyFont="1" applyFill="1" applyBorder="1" applyAlignment="1">
      <alignment horizontal="left"/>
    </xf>
    <xf numFmtId="0" fontId="7" fillId="3" borderId="4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right"/>
    </xf>
    <xf numFmtId="0" fontId="8" fillId="2" borderId="3" xfId="0" applyFont="1" applyFill="1" applyBorder="1" applyAlignment="1">
      <alignment horizontal="right"/>
    </xf>
    <xf numFmtId="9" fontId="0" fillId="4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  <xf numFmtId="1" fontId="0" fillId="0" borderId="0" xfId="0" applyNumberFormat="1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0" fillId="0" borderId="0" xfId="0" applyFont="1"/>
    <xf numFmtId="0" fontId="3" fillId="5" borderId="0" xfId="0" applyFont="1" applyFill="1"/>
    <xf numFmtId="0" fontId="11" fillId="0" borderId="0" xfId="0" applyFont="1"/>
    <xf numFmtId="0" fontId="3" fillId="5" borderId="5" xfId="0" applyFont="1" applyFill="1" applyBorder="1"/>
    <xf numFmtId="0" fontId="3" fillId="6" borderId="0" xfId="0" applyFont="1" applyFill="1"/>
    <xf numFmtId="0" fontId="3" fillId="5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65" fontId="11" fillId="0" borderId="5" xfId="0" applyNumberFormat="1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" fillId="5" borderId="0" xfId="0" applyFont="1" applyFill="1"/>
    <xf numFmtId="0" fontId="0" fillId="0" borderId="5" xfId="0" applyBorder="1"/>
    <xf numFmtId="165" fontId="0" fillId="0" borderId="5" xfId="0" applyNumberFormat="1" applyBorder="1"/>
    <xf numFmtId="165" fontId="1" fillId="5" borderId="5" xfId="0" applyNumberFormat="1" applyFont="1" applyFill="1" applyBorder="1"/>
    <xf numFmtId="0" fontId="3" fillId="7" borderId="0" xfId="0" applyFont="1" applyFill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13" fillId="0" borderId="0" xfId="0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2" fillId="5" borderId="5" xfId="0" applyFont="1" applyFill="1" applyBorder="1"/>
    <xf numFmtId="0" fontId="12" fillId="5" borderId="0" xfId="0" applyFont="1" applyFill="1"/>
    <xf numFmtId="165" fontId="12" fillId="5" borderId="0" xfId="0" applyNumberFormat="1" applyFont="1" applyFill="1"/>
    <xf numFmtId="0" fontId="0" fillId="5" borderId="0" xfId="0" applyFill="1"/>
  </cellXfs>
  <cellStyles count="1">
    <cellStyle name="Normal" xfId="0" builtinId="0"/>
  </cellStyles>
  <dxfs count="6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7030A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Relationship Id="rId30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Total Sales by Department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582998926237221"/>
          <c:y val="0.119976563753783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Level_6_Final_Project!$C$10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Level_6_Final_Project!$A$11:$A$14</c:f>
              <c:strCache>
                <c:ptCount val="4"/>
                <c:pt idx="0">
                  <c:v>Finance</c:v>
                </c:pt>
                <c:pt idx="1">
                  <c:v>IT</c:v>
                </c:pt>
                <c:pt idx="2">
                  <c:v>HR</c:v>
                </c:pt>
                <c:pt idx="3">
                  <c:v>Marketing</c:v>
                </c:pt>
              </c:strCache>
            </c:strRef>
          </c:cat>
          <c:val>
            <c:numRef>
              <c:f>Level_6_Final_Project!$C$11:$C$14</c:f>
              <c:numCache>
                <c:formatCode>"£"#,##0.00</c:formatCode>
                <c:ptCount val="4"/>
                <c:pt idx="0">
                  <c:v>49000</c:v>
                </c:pt>
                <c:pt idx="1">
                  <c:v>67000</c:v>
                </c:pt>
                <c:pt idx="2">
                  <c:v>28000</c:v>
                </c:pt>
                <c:pt idx="3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CA-4116-85F4-B00C8BA5B2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19933216"/>
        <c:axId val="419940704"/>
      </c:barChart>
      <c:catAx>
        <c:axId val="419933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940704"/>
        <c:crosses val="autoZero"/>
        <c:auto val="1"/>
        <c:lblAlgn val="ctr"/>
        <c:lblOffset val="100"/>
        <c:noMultiLvlLbl val="0"/>
      </c:catAx>
      <c:valAx>
        <c:axId val="419940704"/>
        <c:scaling>
          <c:orientation val="minMax"/>
        </c:scaling>
        <c:delete val="0"/>
        <c:axPos val="b"/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93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Total Salary by Department</a:t>
            </a:r>
          </a:p>
          <a:p>
            <a:pPr>
              <a:defRPr/>
            </a:pPr>
            <a:endParaRPr lang="en-GB"/>
          </a:p>
        </c:rich>
      </c:tx>
      <c:layout>
        <c:manualLayout>
          <c:xMode val="edge"/>
          <c:yMode val="edge"/>
          <c:x val="0.12412517919878438"/>
          <c:y val="3.412453681997469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818725940689298E-2"/>
          <c:y val="0.11230615870637295"/>
          <c:w val="0.82692689307790412"/>
          <c:h val="0.7462294198905039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Level_6_Final_Project!$A$25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68-4DD6-928C-DFAF8508579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Level_6_Final_Project!$A$20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68-4DD6-928C-DFAF8508579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Level_6_Final_Project!$A$21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68-4DD6-928C-DFAF8508579B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Level_6_Final_Project!$A$22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68-4DD6-928C-DFAF8508579B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Level_6_Final_Project!$A$23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68-4DD6-928C-DFAF8508579B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Level_6_Final_Project!$A$24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68-4DD6-928C-DFAF8508579B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Level_6_Final_Project!$E$20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68-4DD6-928C-DFAF8508579B}"/>
            </c:ext>
          </c:extLst>
        </c:ser>
        <c:ser>
          <c:idx val="7"/>
          <c:order val="7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Level_6_Final_Project!$E$21</c:f>
              <c:numCache>
                <c:formatCode>"£"#,##0.00</c:formatCode>
                <c:ptCount val="1"/>
                <c:pt idx="0">
                  <c:v>111000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468-4DD6-928C-DFAF8508579B}"/>
            </c:ext>
          </c:extLst>
        </c:ser>
        <c:ser>
          <c:idx val="8"/>
          <c:order val="8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468-4DD6-928C-DFAF850857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Level_6_Final_Project!$E$22</c:f>
              <c:numCache>
                <c:formatCode>"£"#,##0.00</c:formatCode>
                <c:ptCount val="1"/>
                <c:pt idx="0">
                  <c:v>188000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468-4DD6-928C-DFAF8508579B}"/>
            </c:ext>
          </c:extLst>
        </c:ser>
        <c:ser>
          <c:idx val="9"/>
          <c:order val="9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468-4DD6-928C-DFAF850857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Level_6_Final_Project!$E$23</c:f>
              <c:numCache>
                <c:formatCode>"£"#,##0.00</c:formatCode>
                <c:ptCount val="1"/>
                <c:pt idx="0">
                  <c:v>185000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468-4DD6-928C-DFAF8508579B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Level_6_Final_Project!$E$24</c:f>
              <c:numCache>
                <c:formatCode>"£"#,##0.00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468-4DD6-928C-DFAF85085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7453055"/>
        <c:axId val="1237452639"/>
      </c:barChart>
      <c:catAx>
        <c:axId val="123745305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452639"/>
        <c:crosses val="autoZero"/>
        <c:auto val="1"/>
        <c:lblAlgn val="ctr"/>
        <c:lblOffset val="100"/>
        <c:noMultiLvlLbl val="0"/>
      </c:catAx>
      <c:valAx>
        <c:axId val="1237452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45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3132909</xdr:colOff>
      <xdr:row>6</xdr:row>
      <xdr:rowOff>178526</xdr:rowOff>
    </xdr:from>
    <xdr:to>
      <xdr:col>4</xdr:col>
      <xdr:colOff>3126377</xdr:colOff>
      <xdr:row>14</xdr:row>
      <xdr:rowOff>161110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6C25A9-E462-4459-B1E5-DBB94F3E52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1863635</xdr:colOff>
      <xdr:row>16</xdr:row>
      <xdr:rowOff>152399</xdr:rowOff>
    </xdr:from>
    <xdr:to>
      <xdr:col>6</xdr:col>
      <xdr:colOff>1959429</xdr:colOff>
      <xdr:row>30</xdr:row>
      <xdr:rowOff>165463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B9A0092-9280-440C-BF6F-A2E4644F30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FEC7451-FA57-4E77-8008-A713D0CA57C8}" autoFormatId="16" applyNumberFormats="0" applyBorderFormats="0" applyFontFormats="0" applyPatternFormats="0" applyAlignmentFormats="0" applyWidthHeightFormats="0">
  <queryTableRefresh nextId="5">
    <queryTableFields count="4">
      <queryTableField id="1" name="Department" tableColumnId="1"/>
      <queryTableField id="2" name="Total_Salary" tableColumnId="2"/>
      <queryTableField id="3" name="Employee_Count" tableColumnId="3"/>
      <queryTableField id="4" name="Average_Salary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602501BE-454E-4169-9550-727AA73FF5FD}" autoFormatId="16" applyNumberFormats="0" applyBorderFormats="0" applyFontFormats="0" applyPatternFormats="0" applyAlignmentFormats="0" applyWidthHeightFormats="0">
  <queryTableRefresh nextId="17">
    <queryTableFields count="14">
      <queryTableField id="1" name="Row_Number" tableColumnId="1"/>
      <queryTableField id="2" name="Employee_ID" tableColumnId="2"/>
      <queryTableField id="3" name="Name" tableColumnId="3"/>
      <queryTableField id="4" name="Department" tableColumnId="4"/>
      <queryTableField id="5" name="Salary" tableColumnId="5"/>
      <queryTableField id="6" name="Salary_Band" tableColumnId="6"/>
      <queryTableField id="7" name="Bonus" tableColumnId="7"/>
      <queryTableField id="8" name="City" tableColumnId="8"/>
      <queryTableField id="13" name="Location" tableColumnId="13"/>
      <queryTableField id="14" name="Manager" tableColumnId="14"/>
      <queryTableField id="9" name="Country" tableColumnId="9"/>
      <queryTableField id="10" name="Adjusted_Salary" tableColumnId="10"/>
      <queryTableField id="11" name="Salary_Increase" tableColumnId="11"/>
      <queryTableField id="12" name="Increase_Percentage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B32827BB-A6EA-46AB-BCDB-19C676F7635F}" autoFormatId="16" applyNumberFormats="0" applyBorderFormats="0" applyFontFormats="0" applyPatternFormats="0" applyAlignmentFormats="0" applyWidthHeightFormats="0">
  <queryTableRefresh nextId="11">
    <queryTableFields count="10">
      <queryTableField id="1" name="Employee_ID" tableColumnId="1"/>
      <queryTableField id="2" name="Name" tableColumnId="2"/>
      <queryTableField id="3" name="Department" tableColumnId="3"/>
      <queryTableField id="4" name="Salary" tableColumnId="4"/>
      <queryTableField id="5" name="Salary_Band" tableColumnId="5"/>
      <queryTableField id="6" name="Bonus" tableColumnId="6"/>
      <queryTableField id="7" name="City" tableColumnId="7"/>
      <queryTableField id="8" name="Country" tableColumnId="8"/>
      <queryTableField id="9" name="Location" tableColumnId="9"/>
      <queryTableField id="10" name="Manager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1682903-8EDD-4B8C-8844-E5482E8FC8A0}" autoFormatId="16" applyNumberFormats="0" applyBorderFormats="0" applyFontFormats="0" applyPatternFormats="0" applyAlignmentFormats="0" applyWidthHeightFormats="0">
  <queryTableRefresh nextId="13">
    <queryTableFields count="12">
      <queryTableField id="1" name="Employee_ID" tableColumnId="1"/>
      <queryTableField id="2" name="Name" tableColumnId="2"/>
      <queryTableField id="3" name="Department" tableColumnId="3"/>
      <queryTableField id="4" name="Salary" tableColumnId="4"/>
      <queryTableField id="5" name="Salary_Band" tableColumnId="5"/>
      <queryTableField id="6" name="Bonus" tableColumnId="6"/>
      <queryTableField id="7" name="City" tableColumnId="7"/>
      <queryTableField id="8" name="Country" tableColumnId="8"/>
      <queryTableField id="9" name="Location" tableColumnId="9"/>
      <queryTableField id="10" name="Manager" tableColumnId="10"/>
      <queryTableField id="11" name="Salary_Error_Test" tableColumnId="11"/>
      <queryTableField id="12" name="Safe_Bonus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DB06A331-7695-425C-B58A-DA0BEAFB64BE}" autoFormatId="16" applyNumberFormats="0" applyBorderFormats="0" applyFontFormats="0" applyPatternFormats="0" applyAlignmentFormats="0" applyWidthHeightFormats="0">
  <queryTableRefresh nextId="12">
    <queryTableFields count="10">
      <queryTableField id="1" name="Employee_ID" tableColumnId="1"/>
      <queryTableField id="2" name="Name" tableColumnId="2"/>
      <queryTableField id="3" name="Department" tableColumnId="3"/>
      <queryTableField id="4" name="Salary" tableColumnId="4"/>
      <queryTableField id="5" name="Salary_Band" tableColumnId="5"/>
      <queryTableField id="6" name="Bonus" tableColumnId="6"/>
      <queryTableField id="7" name="City" tableColumnId="7"/>
      <queryTableField id="8" name="Country" tableColumnId="8"/>
      <queryTableField id="10" name="Location" tableColumnId="10"/>
      <queryTableField id="9" name="Manager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FD84DCA-9F99-466C-85B4-452AF9D2A31F}" autoFormatId="16" applyNumberFormats="0" applyBorderFormats="0" applyFontFormats="0" applyPatternFormats="0" applyAlignmentFormats="0" applyWidthHeightFormats="0">
  <queryTableRefresh nextId="6">
    <queryTableFields count="5">
      <queryTableField id="1" name="Employee_ID" tableColumnId="1"/>
      <queryTableField id="2" name="Name" tableColumnId="2"/>
      <queryTableField id="3" name="Department" tableColumnId="3"/>
      <queryTableField id="4" name="Salary" tableColumnId="4"/>
      <queryTableField id="5" name="Location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0" xr16:uid="{97563759-5182-4DE0-98B3-436F913969B2}" autoFormatId="16" applyNumberFormats="0" applyBorderFormats="0" applyFontFormats="0" applyPatternFormats="0" applyAlignmentFormats="0" applyWidthHeightFormats="0">
  <queryTableRefresh nextId="6">
    <queryTableFields count="5">
      <queryTableField id="1" name="Department" tableColumnId="1"/>
      <queryTableField id="2" name="Month" tableColumnId="2"/>
      <queryTableField id="3" name="Sales_Amount" tableColumnId="3"/>
      <queryTableField id="4" name="Sales_Performance" tableColumnId="4"/>
      <queryTableField id="5" name="Sales_Commission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0051FC3B-DCDF-4A39-948E-9D7D3AD058BE}" autoFormatId="16" applyNumberFormats="0" applyBorderFormats="0" applyFontFormats="0" applyPatternFormats="0" applyAlignmentFormats="0" applyWidthHeightFormats="0">
  <queryTableRefresh nextId="5">
    <queryTableFields count="4">
      <queryTableField id="1" name="Department" tableColumnId="1"/>
      <queryTableField id="2" name="Month" tableColumnId="2"/>
      <queryTableField id="3" name="Sales_Amount" tableColumnId="3"/>
      <queryTableField id="4" name="Sales_Performance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6865748F-9D86-482E-958C-F425FE3680B4}" autoFormatId="16" applyNumberFormats="0" applyBorderFormats="0" applyFontFormats="0" applyPatternFormats="0" applyAlignmentFormats="0" applyWidthHeightFormats="0">
  <queryTableRefresh nextId="5">
    <queryTableFields count="4">
      <queryTableField id="1" name="Department" tableColumnId="1"/>
      <queryTableField id="2" name="January" tableColumnId="2"/>
      <queryTableField id="3" name="February" tableColumnId="3"/>
      <queryTableField id="4" name="March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E00218B9-BF9E-473C-BE92-66939C145286}" autoFormatId="16" applyNumberFormats="0" applyBorderFormats="0" applyFontFormats="0" applyPatternFormats="0" applyAlignmentFormats="0" applyWidthHeightFormats="0">
  <queryTableRefresh nextId="4">
    <queryTableFields count="3">
      <queryTableField id="1" name="Department" tableColumnId="1"/>
      <queryTableField id="2" name="Month" tableColumnId="2"/>
      <queryTableField id="3" name="Sales_Amount" tableColumnId="3"/>
    </queryTableFields>
  </queryTableRefresh>
</queryTable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9</v>
    <v>8</v>
    <v>12</v>
    <v>1</v>
  </rv>
  <rv s="0">
    <v>9</v>
    <v>8</v>
    <v>4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6D9CA2-1662-4262-8840-56390B5D349A}" name="Department_Summary" displayName="Department_Summary" ref="A1:D4" tableType="queryTable" totalsRowShown="0">
  <autoFilter ref="A1:D4" xr:uid="{2E6D9CA2-1662-4262-8840-56390B5D349A}"/>
  <tableColumns count="4">
    <tableColumn id="1" xr3:uid="{A753FA7B-7ED9-4CC3-8039-88B7C505E449}" uniqueName="1" name="Department" queryTableFieldId="1" dataDxfId="62"/>
    <tableColumn id="2" xr3:uid="{D0C73521-01CC-44E3-8581-2A8769819F67}" uniqueName="2" name="Total_Salary" queryTableFieldId="2"/>
    <tableColumn id="3" xr3:uid="{4A01B153-2ED5-4924-917B-9D8038F55A1A}" uniqueName="3" name="Employee_Count" queryTableFieldId="3"/>
    <tableColumn id="4" xr3:uid="{146C5DF7-ACD7-4C29-A189-3BF40EE4B1D8}" uniqueName="4" name="Average_Salary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ACAEE7-0CBA-4BBB-80EC-ED3191541719}" name="Top_3_Salary_Analysis" displayName="Top_3_Salary_Analysis" ref="A1:N4" tableType="queryTable" totalsRowShown="0">
  <autoFilter ref="A1:N4" xr:uid="{C9ACAEE7-0CBA-4BBB-80EC-ED3191541719}"/>
  <tableColumns count="14">
    <tableColumn id="1" xr3:uid="{340D5233-6090-4956-8AAE-52AEB5AC7AE7}" uniqueName="1" name="Row_Number" queryTableFieldId="1"/>
    <tableColumn id="2" xr3:uid="{B0211032-A7DF-4927-B00B-C5E5F8AF619E}" uniqueName="2" name="Employee_ID" queryTableFieldId="2" dataDxfId="61"/>
    <tableColumn id="3" xr3:uid="{87001FD0-EA76-456C-89D6-FC9193450B21}" uniqueName="3" name="Name" queryTableFieldId="3" dataDxfId="60"/>
    <tableColumn id="4" xr3:uid="{B8B4888B-240B-43EC-A009-CB0CABAAE8F2}" uniqueName="4" name="Department" queryTableFieldId="4" dataDxfId="59"/>
    <tableColumn id="5" xr3:uid="{98ECE28A-D79D-45F7-8E32-0B3BF2338D56}" uniqueName="5" name="Salary" queryTableFieldId="5"/>
    <tableColumn id="6" xr3:uid="{E4593C09-1C61-4FCF-BD97-08647F6C028F}" uniqueName="6" name="Salary_Band" queryTableFieldId="6"/>
    <tableColumn id="7" xr3:uid="{0CE987FB-5BFE-48F3-84F9-CAC267A434DF}" uniqueName="7" name="Bonus" queryTableFieldId="7"/>
    <tableColumn id="8" xr3:uid="{7D93781E-150C-4E20-8AF8-28A2CB9EA7F0}" uniqueName="8" name="City" queryTableFieldId="8" dataDxfId="58"/>
    <tableColumn id="13" xr3:uid="{F87FEE85-A12A-402F-9ABA-A1D3D710D5AD}" uniqueName="13" name="Location" queryTableFieldId="13" dataDxfId="57"/>
    <tableColumn id="14" xr3:uid="{2CC8C8DC-B54B-4D91-BC94-E2AB016ACF02}" uniqueName="14" name="Manager" queryTableFieldId="14" dataDxfId="56"/>
    <tableColumn id="9" xr3:uid="{2679CD62-F32E-4B09-8E39-B372C39737CF}" uniqueName="9" name="Country" queryTableFieldId="9" dataDxfId="55"/>
    <tableColumn id="10" xr3:uid="{AB577840-5414-422F-A2BE-1BD01C4A3DFF}" uniqueName="10" name="Adjusted_Salary" queryTableFieldId="10"/>
    <tableColumn id="11" xr3:uid="{D7090E08-E873-445C-BBF7-F2986124E073}" uniqueName="11" name="Salary_Increase" queryTableFieldId="11"/>
    <tableColumn id="12" xr3:uid="{55DA2B46-6FBA-40E4-A3AB-F3226F24D809}" uniqueName="12" name="Increase_Percentage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C1303E-C479-4652-9B2E-DDC05E16707D}" name="Department_Lookup_Table" displayName="Department_Lookup_Table" ref="A1:B4" totalsRowShown="0" headerRowDxfId="54" dataDxfId="53">
  <autoFilter ref="A1:B4" xr:uid="{4FC1303E-C479-4652-9B2E-DDC05E16707D}"/>
  <tableColumns count="2">
    <tableColumn id="1" xr3:uid="{DC7DCE37-3A0B-47FC-AFDA-E6DE802A08A8}" name="Department" dataDxfId="52"/>
    <tableColumn id="2" xr3:uid="{0F22184F-FBFC-425C-AF1D-3B52919E638A}" name="Manager" dataDxfId="5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17903E6-8AD0-4959-AA4B-32A0EBE09C2D}" name="Salary_Parameter_Filter" displayName="Salary_Parameter_Filter" ref="A1:J2" tableType="queryTable" totalsRowShown="0">
  <autoFilter ref="A1:J2" xr:uid="{A17903E6-8AD0-4959-AA4B-32A0EBE09C2D}"/>
  <tableColumns count="10">
    <tableColumn id="1" xr3:uid="{75660A35-0A01-4496-9A12-9FB2FE0ACAB7}" uniqueName="1" name="Employee_ID" queryTableFieldId="1" dataDxfId="50"/>
    <tableColumn id="2" xr3:uid="{5B34E8F2-5238-4718-B6A0-CD05467E4B01}" uniqueName="2" name="Name" queryTableFieldId="2" dataDxfId="49"/>
    <tableColumn id="3" xr3:uid="{8095AB5B-A8BB-49A5-94CB-B035A67EC868}" uniqueName="3" name="Department" queryTableFieldId="3" dataDxfId="48"/>
    <tableColumn id="4" xr3:uid="{B567D29B-BA73-4283-84FD-4175408AA458}" uniqueName="4" name="Salary" queryTableFieldId="4"/>
    <tableColumn id="5" xr3:uid="{A1DC6816-1694-45A7-BD34-AFB2F31532EC}" uniqueName="5" name="Salary_Band" queryTableFieldId="5"/>
    <tableColumn id="6" xr3:uid="{F0B71A4B-84BF-41FC-A6C8-52E32FEE9D08}" uniqueName="6" name="Bonus" queryTableFieldId="6"/>
    <tableColumn id="7" xr3:uid="{85CEEF2C-2A51-43A7-92A6-7ACD24662AB8}" uniqueName="7" name="City" queryTableFieldId="7" dataDxfId="47"/>
    <tableColumn id="8" xr3:uid="{E558D127-CBA3-4C2E-B752-0D37AB5E9B46}" uniqueName="8" name="Country" queryTableFieldId="8" dataDxfId="46"/>
    <tableColumn id="9" xr3:uid="{3AD5A541-9484-451A-ADDB-FFF06FACD800}" uniqueName="9" name="Location" queryTableFieldId="9" dataDxfId="45"/>
    <tableColumn id="10" xr3:uid="{AFCD8AA6-DBDC-4CE5-846E-6056EE4D0F31}" uniqueName="10" name="Manager" queryTableFieldId="10" dataDxfId="4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905EA5D-FA0D-4F6E-B399-74E9A0878FBF}" name="Error_Handling_Practice" displayName="Error_Handling_Practice" ref="A1:L14" tableType="queryTable" totalsRowShown="0">
  <autoFilter ref="A1:L14" xr:uid="{B905EA5D-FA0D-4F6E-B399-74E9A0878FBF}"/>
  <tableColumns count="12">
    <tableColumn id="1" xr3:uid="{CC788688-4A74-48C2-939F-7A72614AEF23}" uniqueName="1" name="Employee_ID" queryTableFieldId="1" dataDxfId="43"/>
    <tableColumn id="2" xr3:uid="{194BDCED-623C-4C1F-9207-DD354AE768D0}" uniqueName="2" name="Name" queryTableFieldId="2" dataDxfId="42"/>
    <tableColumn id="3" xr3:uid="{016BC145-4FD9-4E69-B151-365383A9A650}" uniqueName="3" name="Department" queryTableFieldId="3" dataDxfId="41"/>
    <tableColumn id="4" xr3:uid="{DB8C569B-42AE-461A-8C49-C95C0881DDC9}" uniqueName="4" name="Salary" queryTableFieldId="4"/>
    <tableColumn id="5" xr3:uid="{F2E7D5AD-3D68-4FBA-9B49-E2E11A4773C7}" uniqueName="5" name="Salary_Band" queryTableFieldId="5"/>
    <tableColumn id="6" xr3:uid="{E51B5318-D84E-4332-A1C6-D0DDDC45A02C}" uniqueName="6" name="Bonus" queryTableFieldId="6"/>
    <tableColumn id="7" xr3:uid="{D8A0CBF1-6F61-43D5-BFE0-A135F123FD8A}" uniqueName="7" name="City" queryTableFieldId="7" dataDxfId="40"/>
    <tableColumn id="8" xr3:uid="{19489803-273F-4737-80F1-8F274D6DC368}" uniqueName="8" name="Country" queryTableFieldId="8" dataDxfId="39"/>
    <tableColumn id="9" xr3:uid="{366D828C-F09C-4B23-917A-2EC79DFAE616}" uniqueName="9" name="Location" queryTableFieldId="9" dataDxfId="38"/>
    <tableColumn id="10" xr3:uid="{A022090C-3A0D-4DA1-8686-9725FE591ACD}" uniqueName="10" name="Manager" queryTableFieldId="10" dataDxfId="37"/>
    <tableColumn id="11" xr3:uid="{81983A71-1237-4452-B011-24088C2DB082}" uniqueName="11" name="Salary_Error_Test" queryTableFieldId="11"/>
    <tableColumn id="12" xr3:uid="{F26ACE48-6052-4A3D-B95E-679E1C71A627}" uniqueName="12" name="Safe_Bonus" queryTableFieldId="1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85816D-6BDF-41D1-8633-496842A3BEC9}" name="Cleaned_Employees" displayName="Cleaned_Employees" ref="A1:J14" tableType="queryTable" totalsRowShown="0">
  <autoFilter ref="A1:J14" xr:uid="{1885816D-6BDF-41D1-8633-496842A3BEC9}"/>
  <tableColumns count="10">
    <tableColumn id="1" xr3:uid="{1207017A-0335-4D8B-8046-A9D9551AD6CE}" uniqueName="1" name="Employee_ID" queryTableFieldId="1" dataDxfId="6"/>
    <tableColumn id="2" xr3:uid="{48D13BD1-8716-45D5-8239-8030879887A6}" uniqueName="2" name="Name" queryTableFieldId="2" dataDxfId="5"/>
    <tableColumn id="3" xr3:uid="{7F564A92-A91B-4DEB-974F-DDA3F1B4D3AB}" uniqueName="3" name="Department" queryTableFieldId="3" dataDxfId="4"/>
    <tableColumn id="4" xr3:uid="{06A10463-B086-4B98-8005-BC9EDC79F2B3}" uniqueName="4" name="Salary" queryTableFieldId="4"/>
    <tableColumn id="5" xr3:uid="{5FC71065-52F5-41B6-B003-C60F95042404}" uniqueName="5" name="Salary_Band" queryTableFieldId="5"/>
    <tableColumn id="6" xr3:uid="{FB2F29D0-94DD-4B8F-8B74-DD0D5CFA1C20}" uniqueName="6" name="Bonus" queryTableFieldId="6"/>
    <tableColumn id="7" xr3:uid="{E990C6AB-6CDC-44FA-A7DD-238909AADF80}" uniqueName="7" name="City" queryTableFieldId="7" dataDxfId="3"/>
    <tableColumn id="8" xr3:uid="{C8FD44D8-D9F4-480B-B7A0-CC01ED8309EF}" uniqueName="8" name="Country" queryTableFieldId="8" dataDxfId="2"/>
    <tableColumn id="10" xr3:uid="{1C5ECDD4-4A78-4521-A846-55D0DB192D04}" uniqueName="10" name="Location" queryTableFieldId="10" dataDxfId="1"/>
    <tableColumn id="9" xr3:uid="{BBF1A1CA-7D37-48A5-9F26-5D2544AD81BA}" uniqueName="9" name="Manager" queryTableFieldId="9" dataDxfId="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318DDE3-E991-4BE3-A8A2-B87384B23B5F}" name="New_Employees" displayName="New_Employees" ref="A1:E4" tableType="queryTable" totalsRowShown="0">
  <autoFilter ref="A1:E4" xr:uid="{A318DDE3-E991-4BE3-A8A2-B87384B23B5F}"/>
  <tableColumns count="5">
    <tableColumn id="1" xr3:uid="{32133E7A-5F45-43E8-901C-93BD936EAFC9}" uniqueName="1" name="Employee_ID" queryTableFieldId="1" dataDxfId="32"/>
    <tableColumn id="2" xr3:uid="{B6E9E3F8-BF57-4005-AE2A-2864C50659DF}" uniqueName="2" name="Name" queryTableFieldId="2" dataDxfId="31"/>
    <tableColumn id="3" xr3:uid="{F9604B7A-4EAF-4D06-9E2F-ACCB05DCB711}" uniqueName="3" name="Department" queryTableFieldId="3" dataDxfId="30"/>
    <tableColumn id="4" xr3:uid="{173B3887-F911-4299-9A92-3478C1A0C280}" uniqueName="4" name="Salary" queryTableFieldId="4"/>
    <tableColumn id="5" xr3:uid="{81FC9DB2-2975-4AC6-896A-46E710C0E3EB}" uniqueName="5" name="Location" queryTableFieldId="5" dataDxfId="2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BB3D3C2-4638-4D14-93FA-7AC05242E260}" name="New_Employees_Table" displayName="New_Employees_Table" ref="A4:E7" totalsRowShown="0" headerRowDxfId="28" dataDxfId="27">
  <autoFilter ref="A4:E7" xr:uid="{1BB3D3C2-4638-4D14-93FA-7AC05242E260}"/>
  <tableColumns count="5">
    <tableColumn id="1" xr3:uid="{8DC192C3-2CB7-4FFB-AE33-A060E7D328FC}" name="Employee_ID" dataDxfId="26"/>
    <tableColumn id="2" xr3:uid="{386E0F97-E8F8-4F77-81A6-2CFB1ECDFBD3}" name="Name" dataDxfId="25"/>
    <tableColumn id="3" xr3:uid="{CEB23CDE-FDD7-464D-BB8E-0CB7271BB924}" name="Department" dataDxfId="24"/>
    <tableColumn id="4" xr3:uid="{3D8E298B-DA1D-4E27-806B-58B75441AEA1}" name="Salary" dataDxfId="23"/>
    <tableColumn id="5" xr3:uid="{255957F6-0EFA-4900-8DB4-D6F8144E0F44}" name="Location" dataDxfId="2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B68E1D-0278-4C8A-92F1-2BE2066F5084}" name="Raw_Employees" displayName="Raw_Employees" ref="A1:E12" totalsRowShown="0" headerRowDxfId="21" dataDxfId="20">
  <autoFilter ref="A1:E12" xr:uid="{98B68E1D-0278-4C8A-92F1-2BE2066F5084}"/>
  <tableColumns count="5">
    <tableColumn id="1" xr3:uid="{403859B4-DD2B-43B9-8428-605222FE48C1}" name="Employee_ID" dataDxfId="19"/>
    <tableColumn id="2" xr3:uid="{77235503-ED81-4FAA-8C47-80D0B084C8A0}" name="Name" dataDxfId="18"/>
    <tableColumn id="3" xr3:uid="{4F1CA949-CE0D-4C9C-9F62-E15B4C62BE83}" name="Department" dataDxfId="17"/>
    <tableColumn id="4" xr3:uid="{CEE2B6CC-57BB-4CD4-A5CD-010BFAF29F36}" name="Salary" dataDxfId="16"/>
    <tableColumn id="5" xr3:uid="{E4FEB524-FB4A-4245-B9C3-B1155E25E600}" name="Location" dataDxfId="1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EB2C609-9799-4F06-BBD7-27267020A35D}" name="Sales_Commission_Analysis" displayName="Sales_Commission_Analysis" ref="A1:E13" tableType="queryTable" totalsRowShown="0">
  <autoFilter ref="A1:E13" xr:uid="{AEB2C609-9799-4F06-BBD7-27267020A35D}"/>
  <tableColumns count="5">
    <tableColumn id="1" xr3:uid="{95556D86-C445-4E4B-8F72-4FF689DBDF73}" uniqueName="1" name="Department" queryTableFieldId="1" dataDxfId="14"/>
    <tableColumn id="2" xr3:uid="{38C97A9C-06C0-4F03-ACA1-9BC741F7034B}" uniqueName="2" name="Month" queryTableFieldId="2" dataDxfId="13"/>
    <tableColumn id="3" xr3:uid="{85908B8D-6C40-4B79-8101-9B8B16E8E61E}" uniqueName="3" name="Sales_Amount" queryTableFieldId="3"/>
    <tableColumn id="4" xr3:uid="{87678FBE-D290-40CD-9EEC-3786F574EA35}" uniqueName="4" name="Sales_Performance" queryTableFieldId="4"/>
    <tableColumn id="5" xr3:uid="{85A3A173-7F39-4714-BFFE-8AEE8A2CB416}" uniqueName="5" name="Sales_Commission" queryTableFieldId="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E61C62E-D5F7-4809-BF95-8BF07E7848D8}" name="Sales_Performance_Analysis" displayName="Sales_Performance_Analysis" ref="A1:D13" tableType="queryTable" totalsRowShown="0">
  <autoFilter ref="A1:D13" xr:uid="{5E61C62E-D5F7-4809-BF95-8BF07E7848D8}"/>
  <tableColumns count="4">
    <tableColumn id="1" xr3:uid="{C848A01B-4561-4324-9E1F-166EECFFC0CF}" uniqueName="1" name="Department" queryTableFieldId="1" dataDxfId="12"/>
    <tableColumn id="2" xr3:uid="{02F7A165-33D0-48E5-9776-3C1B9D2B1FDB}" uniqueName="2" name="Month" queryTableFieldId="2" dataDxfId="11"/>
    <tableColumn id="3" xr3:uid="{C7722806-97B9-444B-BBCA-862DD3B493FD}" uniqueName="3" name="Sales_Amount" queryTableFieldId="3"/>
    <tableColumn id="4" xr3:uid="{A89D75CE-6026-4D60-90A6-5C6D60E60F18}" uniqueName="4" name="Sales_Performance" queryTableFieldId="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6A48BB5-825E-4DAA-8EFE-9CBEC7B53958}" name="Monthly_Sales_Pivot_Practice" displayName="Monthly_Sales_Pivot_Practice" ref="A1:D5" tableType="queryTable" totalsRowShown="0">
  <autoFilter ref="A1:D5" xr:uid="{66A48BB5-825E-4DAA-8EFE-9CBEC7B53958}"/>
  <tableColumns count="4">
    <tableColumn id="1" xr3:uid="{FFA56F93-D97A-4AE7-87EE-3AC40B2F85AC}" uniqueName="1" name="Department" queryTableFieldId="1" dataDxfId="10"/>
    <tableColumn id="2" xr3:uid="{855FC42A-51F3-46C3-AF0C-DB63BE4EBBA1}" uniqueName="2" name="January" queryTableFieldId="2"/>
    <tableColumn id="3" xr3:uid="{81475175-2CC2-4B0B-8A80-761CD31EE752}" uniqueName="3" name="February" queryTableFieldId="3"/>
    <tableColumn id="4" xr3:uid="{C6FB8314-B168-4EE4-82E7-852FA94E5F32}" uniqueName="4" name="March" queryTableFieldId="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E11C8DF-9582-4681-86D4-69DD834B9F35}" name="Monthly_Sales_Table_2" displayName="Monthly_Sales_Table_2" ref="A1:C13" tableType="queryTable" totalsRowShown="0">
  <autoFilter ref="A1:C13" xr:uid="{BE11C8DF-9582-4681-86D4-69DD834B9F35}"/>
  <tableColumns count="3">
    <tableColumn id="1" xr3:uid="{423C9CFE-05AC-44C9-AC3A-6DC249E86D18}" uniqueName="1" name="Department" queryTableFieldId="1" dataDxfId="9"/>
    <tableColumn id="2" xr3:uid="{E37CD35D-D22A-458C-945D-B89A6B02DC17}" uniqueName="2" name="Month" queryTableFieldId="2" dataDxfId="8"/>
    <tableColumn id="3" xr3:uid="{39CB05EB-1B1C-44A3-BC96-1B9CEC0DDEAF}" uniqueName="3" name="Sales_Amount" queryTableFieldId="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6276608-519B-4BEB-9F78-1E2C7C2F9623}" name="Monthly_Sales_Table" displayName="Monthly_Sales_Table" ref="A1:D5" totalsRowShown="0" headerRowDxfId="7">
  <autoFilter ref="A1:D5" xr:uid="{B6276608-519B-4BEB-9F78-1E2C7C2F9623}"/>
  <tableColumns count="4">
    <tableColumn id="1" xr3:uid="{C47AF81B-1087-4836-8675-45D35287DA98}" name="Department"/>
    <tableColumn id="2" xr3:uid="{AEAF82A5-FF40-48B1-A895-618890D2051B}" name="January"/>
    <tableColumn id="3" xr3:uid="{61576E87-2BB0-4146-A813-3657C57EFD17}" name="February"/>
    <tableColumn id="4" xr3:uid="{9E721C05-D50A-4366-895B-D5FEC203246D}" name="Marc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0B8DE-132D-4DE7-B06E-43254C42EE42}">
  <sheetPr>
    <tabColor theme="5" tint="0.39997558519241921"/>
  </sheetPr>
  <dimension ref="A1:D4"/>
  <sheetViews>
    <sheetView workbookViewId="0">
      <selection activeCell="H9" sqref="H9"/>
    </sheetView>
  </sheetViews>
  <sheetFormatPr defaultRowHeight="14.4"/>
  <cols>
    <col min="1" max="1" width="13.33203125" bestFit="1" customWidth="1"/>
    <col min="2" max="2" width="13.5546875" bestFit="1" customWidth="1"/>
    <col min="3" max="3" width="17.77734375" bestFit="1" customWidth="1"/>
    <col min="4" max="4" width="16.33203125" bestFit="1" customWidth="1"/>
  </cols>
  <sheetData>
    <row r="1" spans="1:4">
      <c r="A1" t="s">
        <v>2</v>
      </c>
      <c r="B1" t="s">
        <v>196</v>
      </c>
      <c r="C1" t="s">
        <v>197</v>
      </c>
      <c r="D1" t="s">
        <v>198</v>
      </c>
    </row>
    <row r="2" spans="1:4">
      <c r="A2" s="3" t="s">
        <v>21</v>
      </c>
      <c r="B2">
        <v>188000</v>
      </c>
      <c r="C2">
        <v>5</v>
      </c>
      <c r="D2">
        <v>37600</v>
      </c>
    </row>
    <row r="3" spans="1:4">
      <c r="A3" s="3" t="s">
        <v>23</v>
      </c>
      <c r="B3">
        <v>185000</v>
      </c>
      <c r="C3">
        <v>4</v>
      </c>
      <c r="D3">
        <v>46250</v>
      </c>
    </row>
    <row r="4" spans="1:4">
      <c r="A4" s="3" t="s">
        <v>15</v>
      </c>
      <c r="B4">
        <v>111000</v>
      </c>
      <c r="C4">
        <v>4</v>
      </c>
      <c r="D4">
        <v>27750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0AB7E-B20F-4E70-B7C4-D92C9E069689}">
  <sheetPr>
    <tabColor theme="9" tint="-0.249977111117893"/>
  </sheetPr>
  <dimension ref="A1:N4"/>
  <sheetViews>
    <sheetView workbookViewId="0">
      <selection activeCell="I10" sqref="I10"/>
    </sheetView>
  </sheetViews>
  <sheetFormatPr defaultRowHeight="14.4"/>
  <cols>
    <col min="1" max="1" width="14.77734375" bestFit="1" customWidth="1"/>
    <col min="2" max="2" width="14.33203125" bestFit="1" customWidth="1"/>
    <col min="3" max="3" width="13.109375" bestFit="1" customWidth="1"/>
    <col min="4" max="4" width="13.33203125" bestFit="1" customWidth="1"/>
    <col min="5" max="5" width="8.33203125" bestFit="1" customWidth="1"/>
    <col min="6" max="6" width="13.6640625" bestFit="1" customWidth="1"/>
    <col min="7" max="7" width="8.44140625" bestFit="1" customWidth="1"/>
    <col min="8" max="8" width="9.6640625" bestFit="1" customWidth="1"/>
    <col min="9" max="9" width="14" bestFit="1" customWidth="1"/>
    <col min="10" max="10" width="10.77734375" bestFit="1" customWidth="1"/>
    <col min="11" max="11" width="10" bestFit="1" customWidth="1"/>
    <col min="12" max="12" width="17" bestFit="1" customWidth="1"/>
    <col min="13" max="13" width="16.44140625" bestFit="1" customWidth="1"/>
    <col min="14" max="14" width="20.88671875" customWidth="1"/>
  </cols>
  <sheetData>
    <row r="1" spans="1:14">
      <c r="A1" t="s">
        <v>199</v>
      </c>
      <c r="B1" t="s">
        <v>0</v>
      </c>
      <c r="C1" t="s">
        <v>1</v>
      </c>
      <c r="D1" t="s">
        <v>2</v>
      </c>
      <c r="E1" t="s">
        <v>3</v>
      </c>
      <c r="F1" t="s">
        <v>49</v>
      </c>
      <c r="G1" t="s">
        <v>50</v>
      </c>
      <c r="H1" t="s">
        <v>51</v>
      </c>
      <c r="I1" t="s">
        <v>39</v>
      </c>
      <c r="J1" t="s">
        <v>203</v>
      </c>
      <c r="K1" t="s">
        <v>52</v>
      </c>
      <c r="L1" t="s">
        <v>200</v>
      </c>
      <c r="M1" t="s">
        <v>201</v>
      </c>
      <c r="N1" t="s">
        <v>202</v>
      </c>
    </row>
    <row r="2" spans="1:14">
      <c r="A2">
        <v>7</v>
      </c>
      <c r="B2" s="3" t="s">
        <v>28</v>
      </c>
      <c r="C2" s="3" t="s">
        <v>31</v>
      </c>
      <c r="D2" s="3" t="s">
        <v>23</v>
      </c>
      <c r="E2">
        <v>52000</v>
      </c>
      <c r="F2" t="s">
        <v>56</v>
      </c>
      <c r="G2">
        <v>2600</v>
      </c>
      <c r="H2" s="3" t="s">
        <v>62</v>
      </c>
      <c r="I2" s="3"/>
      <c r="J2" s="3" t="s">
        <v>205</v>
      </c>
      <c r="K2" s="3" t="s">
        <v>55</v>
      </c>
      <c r="L2">
        <v>57200.000000000007</v>
      </c>
      <c r="M2">
        <v>5200.0000000000073</v>
      </c>
      <c r="N2">
        <v>0.1</v>
      </c>
    </row>
    <row r="3" spans="1:14">
      <c r="A3">
        <v>9</v>
      </c>
      <c r="B3" s="3" t="s">
        <v>65</v>
      </c>
      <c r="C3" s="3" t="s">
        <v>68</v>
      </c>
      <c r="D3" s="3" t="s">
        <v>23</v>
      </c>
      <c r="E3">
        <v>48000</v>
      </c>
      <c r="F3" t="s">
        <v>56</v>
      </c>
      <c r="G3">
        <v>2400</v>
      </c>
      <c r="H3" s="3" t="s">
        <v>69</v>
      </c>
      <c r="I3" s="3"/>
      <c r="J3" s="3" t="s">
        <v>205</v>
      </c>
      <c r="K3" s="3" t="s">
        <v>55</v>
      </c>
      <c r="L3">
        <v>52800.000000000007</v>
      </c>
      <c r="M3">
        <v>4800.0000000000073</v>
      </c>
      <c r="N3">
        <v>0.1</v>
      </c>
    </row>
    <row r="4" spans="1:14">
      <c r="A4">
        <v>12</v>
      </c>
      <c r="B4" s="3" t="s">
        <v>213</v>
      </c>
      <c r="C4" s="3" t="s">
        <v>218</v>
      </c>
      <c r="D4" s="3" t="s">
        <v>23</v>
      </c>
      <c r="E4">
        <v>46000</v>
      </c>
      <c r="H4" s="3"/>
      <c r="I4" s="3" t="s">
        <v>215</v>
      </c>
      <c r="J4" s="3" t="s">
        <v>205</v>
      </c>
      <c r="K4" s="3"/>
      <c r="L4">
        <v>50600.000000000007</v>
      </c>
      <c r="M4">
        <v>4600.0000000000073</v>
      </c>
      <c r="N4">
        <v>0.1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1FB45-B716-4C40-8FA5-9E6320A890DD}">
  <sheetPr>
    <tabColor theme="3" tint="0.39997558519241921"/>
  </sheetPr>
  <dimension ref="A1:B4"/>
  <sheetViews>
    <sheetView zoomScale="153" zoomScaleNormal="153" workbookViewId="0">
      <selection activeCell="A3" sqref="A3"/>
    </sheetView>
  </sheetViews>
  <sheetFormatPr defaultRowHeight="14.4"/>
  <cols>
    <col min="1" max="1" width="12.33203125" customWidth="1"/>
    <col min="2" max="2" width="13.21875" customWidth="1"/>
  </cols>
  <sheetData>
    <row r="1" spans="1:2" ht="21.6" customHeight="1">
      <c r="A1" s="42" t="s">
        <v>2</v>
      </c>
      <c r="B1" s="42" t="s">
        <v>203</v>
      </c>
    </row>
    <row r="2" spans="1:2" ht="16.8" customHeight="1">
      <c r="A2" s="43" t="s">
        <v>15</v>
      </c>
      <c r="B2" s="43" t="s">
        <v>204</v>
      </c>
    </row>
    <row r="3" spans="1:2" ht="16.2" customHeight="1">
      <c r="A3" s="43" t="s">
        <v>23</v>
      </c>
      <c r="B3" s="43" t="s">
        <v>205</v>
      </c>
    </row>
    <row r="4" spans="1:2" ht="13.8" customHeight="1">
      <c r="A4" s="43" t="s">
        <v>21</v>
      </c>
      <c r="B4" s="43" t="s">
        <v>206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F794A-5791-431F-9AAE-6045B8229D41}">
  <sheetPr>
    <tabColor theme="7" tint="0.59999389629810485"/>
  </sheetPr>
  <dimension ref="A1:J2"/>
  <sheetViews>
    <sheetView workbookViewId="0">
      <selection activeCell="K11" sqref="K11"/>
    </sheetView>
  </sheetViews>
  <sheetFormatPr defaultRowHeight="14.4"/>
  <cols>
    <col min="1" max="1" width="14.33203125" bestFit="1" customWidth="1"/>
    <col min="2" max="2" width="13.109375" bestFit="1" customWidth="1"/>
    <col min="3" max="3" width="13.33203125" bestFit="1" customWidth="1"/>
    <col min="4" max="4" width="8.33203125" bestFit="1" customWidth="1"/>
    <col min="5" max="5" width="13.6640625" bestFit="1" customWidth="1"/>
    <col min="6" max="6" width="8.44140625" bestFit="1" customWidth="1"/>
    <col min="7" max="7" width="8.109375" bestFit="1" customWidth="1"/>
    <col min="8" max="8" width="10" bestFit="1" customWidth="1"/>
    <col min="9" max="9" width="10.44140625" bestFit="1" customWidth="1"/>
    <col min="10" max="10" width="10.777343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49</v>
      </c>
      <c r="F1" t="s">
        <v>50</v>
      </c>
      <c r="G1" t="s">
        <v>51</v>
      </c>
      <c r="H1" t="s">
        <v>52</v>
      </c>
      <c r="I1" t="s">
        <v>39</v>
      </c>
      <c r="J1" t="s">
        <v>203</v>
      </c>
    </row>
    <row r="2" spans="1:10">
      <c r="A2" s="3" t="s">
        <v>28</v>
      </c>
      <c r="B2" s="3" t="s">
        <v>31</v>
      </c>
      <c r="C2" s="3" t="s">
        <v>23</v>
      </c>
      <c r="D2">
        <v>52000</v>
      </c>
      <c r="E2" t="s">
        <v>56</v>
      </c>
      <c r="F2">
        <v>2600</v>
      </c>
      <c r="G2" s="3" t="s">
        <v>62</v>
      </c>
      <c r="H2" s="3" t="s">
        <v>55</v>
      </c>
      <c r="I2" s="3"/>
      <c r="J2" s="3" t="s">
        <v>205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7DD35-91EC-4CBF-AEB6-3BCB99D1C4E5}">
  <sheetPr>
    <tabColor theme="0" tint="-0.499984740745262"/>
  </sheetPr>
  <dimension ref="A1:L14"/>
  <sheetViews>
    <sheetView workbookViewId="0">
      <selection activeCell="M19" sqref="M19"/>
    </sheetView>
  </sheetViews>
  <sheetFormatPr defaultRowHeight="14.4"/>
  <cols>
    <col min="1" max="1" width="14.33203125" bestFit="1" customWidth="1"/>
    <col min="2" max="3" width="13.33203125" bestFit="1" customWidth="1"/>
    <col min="4" max="4" width="8.33203125" bestFit="1" customWidth="1"/>
    <col min="5" max="5" width="13.6640625" bestFit="1" customWidth="1"/>
    <col min="6" max="6" width="8.44140625" bestFit="1" customWidth="1"/>
    <col min="7" max="7" width="10.6640625" bestFit="1" customWidth="1"/>
    <col min="8" max="8" width="10" bestFit="1" customWidth="1"/>
    <col min="9" max="9" width="14" bestFit="1" customWidth="1"/>
    <col min="10" max="10" width="11.77734375" bestFit="1" customWidth="1"/>
    <col min="11" max="11" width="18" bestFit="1" customWidth="1"/>
    <col min="12" max="12" width="13.1093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49</v>
      </c>
      <c r="F1" t="s">
        <v>50</v>
      </c>
      <c r="G1" t="s">
        <v>51</v>
      </c>
      <c r="H1" t="s">
        <v>52</v>
      </c>
      <c r="I1" t="s">
        <v>39</v>
      </c>
      <c r="J1" t="s">
        <v>203</v>
      </c>
      <c r="K1" t="s">
        <v>219</v>
      </c>
      <c r="L1" t="s">
        <v>220</v>
      </c>
    </row>
    <row r="2" spans="1:12">
      <c r="A2" s="3" t="s">
        <v>4</v>
      </c>
      <c r="B2" s="3" t="s">
        <v>19</v>
      </c>
      <c r="C2" s="3" t="s">
        <v>15</v>
      </c>
      <c r="D2">
        <v>32000</v>
      </c>
      <c r="E2" t="s">
        <v>53</v>
      </c>
      <c r="F2">
        <v>1600</v>
      </c>
      <c r="G2" s="3" t="s">
        <v>54</v>
      </c>
      <c r="H2" s="3" t="s">
        <v>55</v>
      </c>
      <c r="I2" s="3"/>
      <c r="J2" s="3" t="s">
        <v>204</v>
      </c>
      <c r="L2">
        <v>1600</v>
      </c>
    </row>
    <row r="3" spans="1:12">
      <c r="A3" s="3" t="s">
        <v>13</v>
      </c>
      <c r="B3" s="3" t="s">
        <v>24</v>
      </c>
      <c r="C3" s="3" t="s">
        <v>15</v>
      </c>
      <c r="D3">
        <v>36000</v>
      </c>
      <c r="E3" t="s">
        <v>53</v>
      </c>
      <c r="F3">
        <v>1800</v>
      </c>
      <c r="G3" s="3" t="s">
        <v>59</v>
      </c>
      <c r="H3" s="3" t="s">
        <v>55</v>
      </c>
      <c r="I3" s="3"/>
      <c r="J3" s="3" t="s">
        <v>204</v>
      </c>
      <c r="L3">
        <v>1800</v>
      </c>
    </row>
    <row r="4" spans="1:12">
      <c r="A4" s="3" t="s">
        <v>7</v>
      </c>
      <c r="B4" s="3" t="s">
        <v>20</v>
      </c>
      <c r="C4" s="3" t="s">
        <v>21</v>
      </c>
      <c r="D4">
        <v>45000</v>
      </c>
      <c r="E4" t="s">
        <v>56</v>
      </c>
      <c r="F4">
        <v>2250</v>
      </c>
      <c r="G4" s="3" t="s">
        <v>57</v>
      </c>
      <c r="H4" s="3" t="s">
        <v>55</v>
      </c>
      <c r="I4" s="3"/>
      <c r="J4" s="3" t="s">
        <v>206</v>
      </c>
      <c r="L4">
        <v>2250</v>
      </c>
    </row>
    <row r="5" spans="1:12">
      <c r="A5" s="3" t="s">
        <v>10</v>
      </c>
      <c r="B5" s="3" t="s">
        <v>22</v>
      </c>
      <c r="C5" s="3" t="s">
        <v>23</v>
      </c>
      <c r="D5">
        <v>39000</v>
      </c>
      <c r="E5" t="s">
        <v>53</v>
      </c>
      <c r="F5">
        <v>1950</v>
      </c>
      <c r="G5" s="3" t="s">
        <v>58</v>
      </c>
      <c r="H5" s="3" t="s">
        <v>55</v>
      </c>
      <c r="I5" s="3"/>
      <c r="J5" s="3" t="s">
        <v>205</v>
      </c>
      <c r="L5">
        <v>1950</v>
      </c>
    </row>
    <row r="6" spans="1:12">
      <c r="A6" s="3" t="s">
        <v>16</v>
      </c>
      <c r="B6" s="3" t="s">
        <v>25</v>
      </c>
      <c r="C6" s="3" t="s">
        <v>21</v>
      </c>
      <c r="D6">
        <v>30000</v>
      </c>
      <c r="E6" t="s">
        <v>53</v>
      </c>
      <c r="F6">
        <v>1500</v>
      </c>
      <c r="G6" s="3" t="s">
        <v>60</v>
      </c>
      <c r="H6" s="3" t="s">
        <v>55</v>
      </c>
      <c r="I6" s="3"/>
      <c r="J6" s="3" t="s">
        <v>206</v>
      </c>
      <c r="L6">
        <v>1500</v>
      </c>
    </row>
    <row r="7" spans="1:12">
      <c r="A7" s="3" t="s">
        <v>26</v>
      </c>
      <c r="B7" s="3" t="s">
        <v>30</v>
      </c>
      <c r="C7" s="3" t="s">
        <v>21</v>
      </c>
      <c r="D7">
        <v>41000</v>
      </c>
      <c r="E7" t="s">
        <v>56</v>
      </c>
      <c r="F7">
        <v>2050</v>
      </c>
      <c r="G7" s="3" t="s">
        <v>61</v>
      </c>
      <c r="H7" s="3" t="s">
        <v>55</v>
      </c>
      <c r="I7" s="3"/>
      <c r="J7" s="3" t="s">
        <v>206</v>
      </c>
      <c r="L7">
        <v>2050</v>
      </c>
    </row>
    <row r="8" spans="1:12">
      <c r="A8" s="3" t="s">
        <v>28</v>
      </c>
      <c r="B8" s="3" t="s">
        <v>31</v>
      </c>
      <c r="C8" s="3" t="s">
        <v>23</v>
      </c>
      <c r="D8">
        <v>52000</v>
      </c>
      <c r="E8" t="s">
        <v>56</v>
      </c>
      <c r="F8">
        <v>2600</v>
      </c>
      <c r="G8" s="3" t="s">
        <v>62</v>
      </c>
      <c r="H8" s="3" t="s">
        <v>55</v>
      </c>
      <c r="I8" s="3"/>
      <c r="J8" s="3" t="s">
        <v>205</v>
      </c>
      <c r="L8">
        <v>2600</v>
      </c>
    </row>
    <row r="9" spans="1:12">
      <c r="A9" s="3" t="s">
        <v>32</v>
      </c>
      <c r="B9" s="3" t="s">
        <v>35</v>
      </c>
      <c r="C9" s="3" t="s">
        <v>21</v>
      </c>
      <c r="D9">
        <v>34000</v>
      </c>
      <c r="E9" t="s">
        <v>53</v>
      </c>
      <c r="F9">
        <v>1700</v>
      </c>
      <c r="G9" s="3" t="s">
        <v>63</v>
      </c>
      <c r="H9" s="3" t="s">
        <v>55</v>
      </c>
      <c r="I9" s="3"/>
      <c r="J9" s="3" t="s">
        <v>206</v>
      </c>
      <c r="L9">
        <v>1700</v>
      </c>
    </row>
    <row r="10" spans="1:12">
      <c r="A10" s="3" t="s">
        <v>36</v>
      </c>
      <c r="B10" s="3" t="s">
        <v>38</v>
      </c>
      <c r="C10" s="3" t="s">
        <v>15</v>
      </c>
      <c r="E10" t="s">
        <v>64</v>
      </c>
      <c r="G10" s="3"/>
      <c r="H10" s="3"/>
      <c r="I10" s="3"/>
      <c r="J10" s="3" t="s">
        <v>204</v>
      </c>
    </row>
    <row r="11" spans="1:12">
      <c r="A11" s="3" t="s">
        <v>65</v>
      </c>
      <c r="B11" s="3" t="s">
        <v>68</v>
      </c>
      <c r="C11" s="3" t="s">
        <v>23</v>
      </c>
      <c r="D11">
        <v>48000</v>
      </c>
      <c r="E11" t="s">
        <v>56</v>
      </c>
      <c r="F11">
        <v>2400</v>
      </c>
      <c r="G11" s="3" t="s">
        <v>69</v>
      </c>
      <c r="H11" s="3" t="s">
        <v>55</v>
      </c>
      <c r="I11" s="3"/>
      <c r="J11" s="3" t="s">
        <v>205</v>
      </c>
      <c r="L11">
        <v>2400</v>
      </c>
    </row>
    <row r="12" spans="1:12">
      <c r="A12" s="3" t="s">
        <v>207</v>
      </c>
      <c r="B12" s="3" t="s">
        <v>216</v>
      </c>
      <c r="C12" s="3" t="s">
        <v>15</v>
      </c>
      <c r="D12">
        <v>43000</v>
      </c>
      <c r="G12" s="3"/>
      <c r="H12" s="3"/>
      <c r="I12" s="3" t="s">
        <v>209</v>
      </c>
      <c r="J12" s="3" t="s">
        <v>204</v>
      </c>
      <c r="L12">
        <v>2150</v>
      </c>
    </row>
    <row r="13" spans="1:12">
      <c r="A13" s="3" t="s">
        <v>210</v>
      </c>
      <c r="B13" s="3" t="s">
        <v>217</v>
      </c>
      <c r="C13" s="3" t="s">
        <v>21</v>
      </c>
      <c r="D13">
        <v>38000</v>
      </c>
      <c r="G13" s="3"/>
      <c r="H13" s="3"/>
      <c r="I13" s="3" t="s">
        <v>212</v>
      </c>
      <c r="J13" s="3" t="s">
        <v>206</v>
      </c>
      <c r="L13">
        <v>1900</v>
      </c>
    </row>
    <row r="14" spans="1:12">
      <c r="A14" s="3" t="s">
        <v>213</v>
      </c>
      <c r="B14" s="3" t="s">
        <v>218</v>
      </c>
      <c r="C14" s="3" t="s">
        <v>23</v>
      </c>
      <c r="D14">
        <v>46000</v>
      </c>
      <c r="G14" s="3"/>
      <c r="H14" s="3"/>
      <c r="I14" s="3" t="s">
        <v>215</v>
      </c>
      <c r="J14" s="3" t="s">
        <v>205</v>
      </c>
      <c r="L14">
        <v>2300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8E3B9-B66F-452E-A607-33BA4E8A33E4}">
  <sheetPr>
    <tabColor rgb="FFFF0000"/>
  </sheetPr>
  <dimension ref="A1:AC51"/>
  <sheetViews>
    <sheetView zoomScale="192" zoomScaleNormal="192" workbookViewId="0">
      <selection activeCell="C6" sqref="C6"/>
    </sheetView>
  </sheetViews>
  <sheetFormatPr defaultRowHeight="14.4"/>
  <cols>
    <col min="1" max="1" width="14.33203125" bestFit="1" customWidth="1"/>
    <col min="2" max="3" width="13.33203125" bestFit="1" customWidth="1"/>
    <col min="4" max="4" width="8.33203125" bestFit="1" customWidth="1"/>
    <col min="5" max="5" width="13.6640625" bestFit="1" customWidth="1"/>
    <col min="6" max="6" width="8.44140625" bestFit="1" customWidth="1"/>
    <col min="7" max="7" width="10.77734375" bestFit="1" customWidth="1"/>
    <col min="8" max="8" width="10" bestFit="1" customWidth="1"/>
    <col min="9" max="9" width="14" bestFit="1" customWidth="1"/>
    <col min="10" max="10" width="11.7773437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49</v>
      </c>
      <c r="F1" t="s">
        <v>50</v>
      </c>
      <c r="G1" t="s">
        <v>51</v>
      </c>
      <c r="H1" t="s">
        <v>52</v>
      </c>
      <c r="I1" t="s">
        <v>39</v>
      </c>
      <c r="J1" t="s">
        <v>203</v>
      </c>
      <c r="L1" t="e" cm="1" vm="1">
        <f t="array" aca="1" ref="L1" ca="1">_xlfn._xlws.SORT(Cleaned_Employees[],4,-1)</f>
        <v>#VALUE!</v>
      </c>
      <c r="T1" t="str" cm="1">
        <f t="array" ref="T1:AC13">_xlfn.SORTBY(Cleaned_Employees[],Cleaned_Employees[Salary],-1)</f>
        <v>E007</v>
      </c>
      <c r="U1" t="str">
        <v>Daniel Thomas</v>
      </c>
      <c r="V1" t="str">
        <v>HR</v>
      </c>
      <c r="W1">
        <v>52000</v>
      </c>
      <c r="X1" t="str">
        <v>High Salary</v>
      </c>
      <c r="Y1">
        <v>2600</v>
      </c>
      <c r="Z1" t="str">
        <v>Sheffield</v>
      </c>
      <c r="AA1" t="str">
        <v xml:space="preserve"> UK</v>
      </c>
      <c r="AB1">
        <v>0</v>
      </c>
      <c r="AC1" t="str">
        <v>Robert King</v>
      </c>
    </row>
    <row r="2" spans="1:29">
      <c r="A2" s="3" t="s">
        <v>4</v>
      </c>
      <c r="B2" s="3" t="s">
        <v>19</v>
      </c>
      <c r="C2" s="3" t="s">
        <v>15</v>
      </c>
      <c r="D2">
        <v>32000</v>
      </c>
      <c r="E2" t="s">
        <v>53</v>
      </c>
      <c r="F2">
        <v>1600</v>
      </c>
      <c r="G2" s="3" t="s">
        <v>54</v>
      </c>
      <c r="H2" s="3" t="s">
        <v>55</v>
      </c>
      <c r="I2" s="3"/>
      <c r="J2" s="3" t="s">
        <v>204</v>
      </c>
      <c r="T2" t="str">
        <v>E010</v>
      </c>
      <c r="U2" t="str">
        <v>Henry Jones</v>
      </c>
      <c r="V2" t="str">
        <v>HR</v>
      </c>
      <c r="W2">
        <v>48000</v>
      </c>
      <c r="X2" t="str">
        <v>High Salary</v>
      </c>
      <c r="Y2">
        <v>2400</v>
      </c>
      <c r="Z2" t="str">
        <v>Cambridge</v>
      </c>
      <c r="AA2" t="str">
        <v xml:space="preserve"> UK</v>
      </c>
      <c r="AB2">
        <v>0</v>
      </c>
      <c r="AC2" t="str">
        <v>Robert King</v>
      </c>
    </row>
    <row r="3" spans="1:29">
      <c r="A3" s="3" t="s">
        <v>13</v>
      </c>
      <c r="B3" s="3" t="s">
        <v>24</v>
      </c>
      <c r="C3" s="3" t="s">
        <v>15</v>
      </c>
      <c r="D3">
        <v>36000</v>
      </c>
      <c r="E3" t="s">
        <v>53</v>
      </c>
      <c r="F3">
        <v>1800</v>
      </c>
      <c r="G3" s="3" t="s">
        <v>59</v>
      </c>
      <c r="H3" s="3" t="s">
        <v>55</v>
      </c>
      <c r="I3" s="3"/>
      <c r="J3" s="3" t="s">
        <v>204</v>
      </c>
      <c r="T3" t="str">
        <v>E013</v>
      </c>
      <c r="U3" t="str">
        <v>Linda Evans</v>
      </c>
      <c r="V3" t="str">
        <v>HR</v>
      </c>
      <c r="W3">
        <v>46000</v>
      </c>
      <c r="X3">
        <v>0</v>
      </c>
      <c r="Y3">
        <v>0</v>
      </c>
      <c r="Z3">
        <v>0</v>
      </c>
      <c r="AA3">
        <v>0</v>
      </c>
      <c r="AB3" t="str">
        <v>Nottingham, UK</v>
      </c>
      <c r="AC3" t="str">
        <v>Robert King</v>
      </c>
    </row>
    <row r="4" spans="1:29">
      <c r="A4" s="3" t="s">
        <v>7</v>
      </c>
      <c r="B4" s="3" t="s">
        <v>20</v>
      </c>
      <c r="C4" s="3" t="s">
        <v>21</v>
      </c>
      <c r="D4">
        <v>45000</v>
      </c>
      <c r="E4" t="s">
        <v>56</v>
      </c>
      <c r="F4">
        <v>2250</v>
      </c>
      <c r="G4" s="3" t="s">
        <v>57</v>
      </c>
      <c r="H4" s="3" t="s">
        <v>55</v>
      </c>
      <c r="I4" s="3"/>
      <c r="J4" s="3" t="s">
        <v>206</v>
      </c>
      <c r="T4" t="str">
        <v>E002</v>
      </c>
      <c r="U4" t="str">
        <v>David Smith</v>
      </c>
      <c r="V4" t="str">
        <v>IT</v>
      </c>
      <c r="W4">
        <v>45000</v>
      </c>
      <c r="X4" t="str">
        <v>High Salary</v>
      </c>
      <c r="Y4">
        <v>2250</v>
      </c>
      <c r="Z4" t="str">
        <v>Manchester</v>
      </c>
      <c r="AA4" t="str">
        <v xml:space="preserve"> UK</v>
      </c>
      <c r="AB4">
        <v>0</v>
      </c>
      <c r="AC4" t="str">
        <v>Laura White</v>
      </c>
    </row>
    <row r="5" spans="1:29">
      <c r="A5" s="3" t="s">
        <v>10</v>
      </c>
      <c r="B5" s="3" t="s">
        <v>22</v>
      </c>
      <c r="C5" s="3" t="s">
        <v>23</v>
      </c>
      <c r="D5">
        <v>39000</v>
      </c>
      <c r="E5" t="s">
        <v>53</v>
      </c>
      <c r="F5">
        <v>1950</v>
      </c>
      <c r="G5" s="3" t="s">
        <v>58</v>
      </c>
      <c r="H5" s="3" t="s">
        <v>55</v>
      </c>
      <c r="I5" s="3"/>
      <c r="J5" s="3" t="s">
        <v>205</v>
      </c>
      <c r="T5" t="str">
        <v>E011</v>
      </c>
      <c r="U5" t="str">
        <v>Rachel Adams</v>
      </c>
      <c r="V5" t="str">
        <v>Finance</v>
      </c>
      <c r="W5">
        <v>43000</v>
      </c>
      <c r="X5">
        <v>0</v>
      </c>
      <c r="Y5">
        <v>0</v>
      </c>
      <c r="Z5">
        <v>0</v>
      </c>
      <c r="AA5">
        <v>0</v>
      </c>
      <c r="AB5" t="str">
        <v>Oxford, UK</v>
      </c>
      <c r="AC5" t="str">
        <v>Sophia Green</v>
      </c>
    </row>
    <row r="6" spans="1:29">
      <c r="A6" s="3" t="s">
        <v>16</v>
      </c>
      <c r="B6" s="3" t="s">
        <v>25</v>
      </c>
      <c r="C6" s="3" t="s">
        <v>21</v>
      </c>
      <c r="D6">
        <v>30000</v>
      </c>
      <c r="E6" t="s">
        <v>53</v>
      </c>
      <c r="F6">
        <v>1500</v>
      </c>
      <c r="G6" s="3" t="s">
        <v>60</v>
      </c>
      <c r="H6" s="3" t="s">
        <v>55</v>
      </c>
      <c r="I6" s="3"/>
      <c r="J6" s="3" t="s">
        <v>206</v>
      </c>
      <c r="T6" t="str">
        <v>E006</v>
      </c>
      <c r="U6" t="str">
        <v>Emily Davies</v>
      </c>
      <c r="V6" t="str">
        <v>IT</v>
      </c>
      <c r="W6">
        <v>41000</v>
      </c>
      <c r="X6" t="str">
        <v>High Salary</v>
      </c>
      <c r="Y6">
        <v>2050</v>
      </c>
      <c r="Z6" t="str">
        <v>Bristol</v>
      </c>
      <c r="AA6" t="str">
        <v xml:space="preserve"> UK</v>
      </c>
      <c r="AB6">
        <v>0</v>
      </c>
      <c r="AC6" t="str">
        <v>Laura White</v>
      </c>
    </row>
    <row r="7" spans="1:29">
      <c r="A7" s="3" t="s">
        <v>26</v>
      </c>
      <c r="B7" s="3" t="s">
        <v>30</v>
      </c>
      <c r="C7" s="3" t="s">
        <v>21</v>
      </c>
      <c r="D7">
        <v>41000</v>
      </c>
      <c r="E7" t="s">
        <v>56</v>
      </c>
      <c r="F7">
        <v>2050</v>
      </c>
      <c r="G7" s="3" t="s">
        <v>61</v>
      </c>
      <c r="H7" s="3" t="s">
        <v>55</v>
      </c>
      <c r="I7" s="3"/>
      <c r="J7" s="3" t="s">
        <v>206</v>
      </c>
      <c r="T7" t="str">
        <v>E003</v>
      </c>
      <c r="U7" t="str">
        <v>Michael Brown</v>
      </c>
      <c r="V7" t="str">
        <v>HR</v>
      </c>
      <c r="W7">
        <v>39000</v>
      </c>
      <c r="X7" t="str">
        <v>Standard Salary</v>
      </c>
      <c r="Y7">
        <v>1950</v>
      </c>
      <c r="Z7" t="str">
        <v>Birmingham</v>
      </c>
      <c r="AA7" t="str">
        <v xml:space="preserve"> UK</v>
      </c>
      <c r="AB7">
        <v>0</v>
      </c>
      <c r="AC7" t="str">
        <v>Robert King</v>
      </c>
    </row>
    <row r="8" spans="1:29">
      <c r="A8" s="3" t="s">
        <v>28</v>
      </c>
      <c r="B8" s="3" t="s">
        <v>31</v>
      </c>
      <c r="C8" s="3" t="s">
        <v>23</v>
      </c>
      <c r="D8">
        <v>52000</v>
      </c>
      <c r="E8" t="s">
        <v>56</v>
      </c>
      <c r="F8">
        <v>2600</v>
      </c>
      <c r="G8" s="3" t="s">
        <v>62</v>
      </c>
      <c r="H8" s="3" t="s">
        <v>55</v>
      </c>
      <c r="I8" s="3"/>
      <c r="J8" s="3" t="s">
        <v>205</v>
      </c>
      <c r="T8" t="str">
        <v>E012</v>
      </c>
      <c r="U8" t="str">
        <v>Peter Clark</v>
      </c>
      <c r="V8" t="str">
        <v>IT</v>
      </c>
      <c r="W8">
        <v>38000</v>
      </c>
      <c r="X8">
        <v>0</v>
      </c>
      <c r="Y8">
        <v>0</v>
      </c>
      <c r="Z8">
        <v>0</v>
      </c>
      <c r="AA8">
        <v>0</v>
      </c>
      <c r="AB8" t="str">
        <v>Cardiff, UK</v>
      </c>
      <c r="AC8" t="str">
        <v>Laura White</v>
      </c>
    </row>
    <row r="9" spans="1:29">
      <c r="A9" s="3" t="s">
        <v>32</v>
      </c>
      <c r="B9" s="3" t="s">
        <v>35</v>
      </c>
      <c r="C9" s="3" t="s">
        <v>21</v>
      </c>
      <c r="D9">
        <v>34000</v>
      </c>
      <c r="E9" t="s">
        <v>53</v>
      </c>
      <c r="F9">
        <v>1700</v>
      </c>
      <c r="G9" s="3" t="s">
        <v>63</v>
      </c>
      <c r="H9" s="3" t="s">
        <v>55</v>
      </c>
      <c r="I9" s="3"/>
      <c r="J9" s="3" t="s">
        <v>206</v>
      </c>
      <c r="T9" t="str">
        <v>E004</v>
      </c>
      <c r="U9" t="str">
        <v>Aisha Bello</v>
      </c>
      <c r="V9" t="str">
        <v>Finance</v>
      </c>
      <c r="W9">
        <v>36000</v>
      </c>
      <c r="X9" t="str">
        <v>Standard Salary</v>
      </c>
      <c r="Y9">
        <v>1800</v>
      </c>
      <c r="Z9" t="str">
        <v>Leeds</v>
      </c>
      <c r="AA9" t="str">
        <v xml:space="preserve"> UK</v>
      </c>
      <c r="AB9">
        <v>0</v>
      </c>
      <c r="AC9" t="str">
        <v>Sophia Green</v>
      </c>
    </row>
    <row r="10" spans="1:29">
      <c r="A10" s="3" t="s">
        <v>36</v>
      </c>
      <c r="B10" s="3" t="s">
        <v>38</v>
      </c>
      <c r="C10" s="3" t="s">
        <v>15</v>
      </c>
      <c r="E10" t="s">
        <v>64</v>
      </c>
      <c r="G10" s="3"/>
      <c r="H10" s="3"/>
      <c r="I10" s="3"/>
      <c r="J10" s="3" t="s">
        <v>204</v>
      </c>
      <c r="T10" t="str">
        <v>E008</v>
      </c>
      <c r="U10" t="str">
        <v>Grace Taylor</v>
      </c>
      <c r="V10" t="str">
        <v>IT</v>
      </c>
      <c r="W10">
        <v>34000</v>
      </c>
      <c r="X10" t="str">
        <v>Standard Salary</v>
      </c>
      <c r="Y10">
        <v>1700</v>
      </c>
      <c r="Z10" t="str">
        <v>Glasgow</v>
      </c>
      <c r="AA10" t="str">
        <v xml:space="preserve"> UK</v>
      </c>
      <c r="AB10">
        <v>0</v>
      </c>
      <c r="AC10" t="str">
        <v>Laura White</v>
      </c>
    </row>
    <row r="11" spans="1:29">
      <c r="A11" s="3" t="s">
        <v>65</v>
      </c>
      <c r="B11" s="3" t="s">
        <v>68</v>
      </c>
      <c r="C11" s="3" t="s">
        <v>23</v>
      </c>
      <c r="D11">
        <v>48000</v>
      </c>
      <c r="E11" t="s">
        <v>56</v>
      </c>
      <c r="F11">
        <v>2400</v>
      </c>
      <c r="G11" s="3" t="s">
        <v>69</v>
      </c>
      <c r="H11" s="3" t="s">
        <v>55</v>
      </c>
      <c r="I11" s="3"/>
      <c r="J11" s="3" t="s">
        <v>205</v>
      </c>
      <c r="T11" t="str">
        <v>E001</v>
      </c>
      <c r="U11" t="str">
        <v>Sarah Johnson</v>
      </c>
      <c r="V11" t="str">
        <v>Finance</v>
      </c>
      <c r="W11">
        <v>32000</v>
      </c>
      <c r="X11" t="str">
        <v>Standard Salary</v>
      </c>
      <c r="Y11">
        <v>1600</v>
      </c>
      <c r="Z11" t="str">
        <v>London</v>
      </c>
      <c r="AA11" t="str">
        <v xml:space="preserve"> UK</v>
      </c>
      <c r="AB11">
        <v>0</v>
      </c>
      <c r="AC11" t="str">
        <v>Sophia Green</v>
      </c>
    </row>
    <row r="12" spans="1:29">
      <c r="A12" s="3" t="s">
        <v>207</v>
      </c>
      <c r="B12" s="3" t="s">
        <v>216</v>
      </c>
      <c r="C12" s="3" t="s">
        <v>15</v>
      </c>
      <c r="D12">
        <v>43000</v>
      </c>
      <c r="G12" s="3"/>
      <c r="H12" s="3"/>
      <c r="I12" s="3" t="s">
        <v>209</v>
      </c>
      <c r="J12" s="3" t="s">
        <v>204</v>
      </c>
      <c r="T12" t="str">
        <v>E005</v>
      </c>
      <c r="U12" t="str">
        <v>James Wilson</v>
      </c>
      <c r="V12" t="str">
        <v>IT</v>
      </c>
      <c r="W12">
        <v>30000</v>
      </c>
      <c r="X12" t="str">
        <v>Standard Salary</v>
      </c>
      <c r="Y12">
        <v>1500</v>
      </c>
      <c r="Z12" t="str">
        <v>Liverpool</v>
      </c>
      <c r="AA12" t="str">
        <v xml:space="preserve"> UK</v>
      </c>
      <c r="AB12">
        <v>0</v>
      </c>
      <c r="AC12" t="str">
        <v>Laura White</v>
      </c>
    </row>
    <row r="13" spans="1:29">
      <c r="A13" s="3" t="s">
        <v>210</v>
      </c>
      <c r="B13" s="3" t="s">
        <v>217</v>
      </c>
      <c r="C13" s="3" t="s">
        <v>21</v>
      </c>
      <c r="D13">
        <v>38000</v>
      </c>
      <c r="G13" s="3"/>
      <c r="H13" s="3"/>
      <c r="I13" s="3" t="s">
        <v>212</v>
      </c>
      <c r="J13" s="3" t="s">
        <v>206</v>
      </c>
      <c r="T13" t="str">
        <v>E009</v>
      </c>
      <c r="U13" t="str">
        <v>Olive Martin</v>
      </c>
      <c r="V13" t="str">
        <v>Finance</v>
      </c>
      <c r="W13">
        <v>0</v>
      </c>
      <c r="X13" t="str">
        <v>Missing Salary</v>
      </c>
      <c r="Y13">
        <v>0</v>
      </c>
      <c r="Z13">
        <v>0</v>
      </c>
      <c r="AA13">
        <v>0</v>
      </c>
      <c r="AB13">
        <v>0</v>
      </c>
      <c r="AC13" t="str">
        <v>Sophia Green</v>
      </c>
    </row>
    <row r="14" spans="1:29">
      <c r="A14" s="3" t="s">
        <v>213</v>
      </c>
      <c r="B14" s="3" t="s">
        <v>218</v>
      </c>
      <c r="C14" s="3" t="s">
        <v>23</v>
      </c>
      <c r="D14">
        <v>46000</v>
      </c>
      <c r="G14" s="3"/>
      <c r="H14" s="3"/>
      <c r="I14" s="3" t="s">
        <v>215</v>
      </c>
      <c r="J14" s="3" t="s">
        <v>205</v>
      </c>
    </row>
    <row r="30" spans="1:21">
      <c r="L30" t="str" cm="1">
        <f t="array" ref="L30:U42">_xlfn.SORTBY(Cleaned_Employees[],Cleaned_Employees[Salary],-1)</f>
        <v>E007</v>
      </c>
      <c r="M30" t="str">
        <v>Daniel Thomas</v>
      </c>
      <c r="N30" t="str">
        <v>HR</v>
      </c>
      <c r="O30">
        <v>52000</v>
      </c>
      <c r="P30" t="str">
        <v>High Salary</v>
      </c>
      <c r="Q30">
        <v>2600</v>
      </c>
      <c r="R30" t="str">
        <v>Sheffield</v>
      </c>
      <c r="S30" t="str">
        <v xml:space="preserve"> UK</v>
      </c>
      <c r="T30">
        <v>0</v>
      </c>
      <c r="U30" t="str">
        <v>Robert King</v>
      </c>
    </row>
    <row r="31" spans="1:21">
      <c r="L31" t="str">
        <v>E010</v>
      </c>
      <c r="M31" t="str">
        <v>Henry Jones</v>
      </c>
      <c r="N31" t="str">
        <v>HR</v>
      </c>
      <c r="O31">
        <v>48000</v>
      </c>
      <c r="P31" t="str">
        <v>High Salary</v>
      </c>
      <c r="Q31">
        <v>2400</v>
      </c>
      <c r="R31" t="str">
        <v>Cambridge</v>
      </c>
      <c r="S31" t="str">
        <v xml:space="preserve"> UK</v>
      </c>
      <c r="T31">
        <v>0</v>
      </c>
      <c r="U31" t="str">
        <v>Robert King</v>
      </c>
    </row>
    <row r="32" spans="1:21">
      <c r="A32" t="s">
        <v>72</v>
      </c>
      <c r="L32" t="str">
        <v>E013</v>
      </c>
      <c r="M32" t="str">
        <v>Linda Evans</v>
      </c>
      <c r="N32" t="str">
        <v>HR</v>
      </c>
      <c r="O32">
        <v>46000</v>
      </c>
      <c r="P32">
        <v>0</v>
      </c>
      <c r="Q32">
        <v>0</v>
      </c>
      <c r="R32">
        <v>0</v>
      </c>
      <c r="S32">
        <v>0</v>
      </c>
      <c r="T32" t="str">
        <v>Nottingham, UK</v>
      </c>
      <c r="U32" t="str">
        <v>Robert King</v>
      </c>
    </row>
    <row r="33" spans="1:21">
      <c r="A33" t="str" cm="1">
        <f t="array" ref="A33:J36">_xlfn._xlws.FILTER(Cleaned_Employees[],Cleaned_Employees[Department]="HR")</f>
        <v>E003</v>
      </c>
      <c r="B33" t="str">
        <v>Michael Brown</v>
      </c>
      <c r="C33" t="str">
        <v>HR</v>
      </c>
      <c r="D33">
        <v>39000</v>
      </c>
      <c r="E33" t="str">
        <v>Standard Salary</v>
      </c>
      <c r="F33">
        <v>1950</v>
      </c>
      <c r="G33" t="str">
        <v>Birmingham</v>
      </c>
      <c r="H33" t="str">
        <v xml:space="preserve"> UK</v>
      </c>
      <c r="I33">
        <v>0</v>
      </c>
      <c r="J33" t="str">
        <v>Robert King</v>
      </c>
      <c r="L33" t="str">
        <v>E002</v>
      </c>
      <c r="M33" t="str">
        <v>David Smith</v>
      </c>
      <c r="N33" t="str">
        <v>IT</v>
      </c>
      <c r="O33">
        <v>45000</v>
      </c>
      <c r="P33" t="str">
        <v>High Salary</v>
      </c>
      <c r="Q33">
        <v>2250</v>
      </c>
      <c r="R33" t="str">
        <v>Manchester</v>
      </c>
      <c r="S33" t="str">
        <v xml:space="preserve"> UK</v>
      </c>
      <c r="T33">
        <v>0</v>
      </c>
      <c r="U33" t="str">
        <v>Laura White</v>
      </c>
    </row>
    <row r="34" spans="1:21">
      <c r="A34" t="str">
        <v>E007</v>
      </c>
      <c r="B34" t="str">
        <v>Daniel Thomas</v>
      </c>
      <c r="C34" t="str">
        <v>HR</v>
      </c>
      <c r="D34">
        <v>52000</v>
      </c>
      <c r="E34" t="str">
        <v>High Salary</v>
      </c>
      <c r="F34">
        <v>2600</v>
      </c>
      <c r="G34" t="str">
        <v>Sheffield</v>
      </c>
      <c r="H34" t="str">
        <v xml:space="preserve"> UK</v>
      </c>
      <c r="I34">
        <v>0</v>
      </c>
      <c r="J34" t="str">
        <v>Robert King</v>
      </c>
      <c r="L34" t="str">
        <v>E011</v>
      </c>
      <c r="M34" t="str">
        <v>Rachel Adams</v>
      </c>
      <c r="N34" t="str">
        <v>Finance</v>
      </c>
      <c r="O34">
        <v>43000</v>
      </c>
      <c r="P34">
        <v>0</v>
      </c>
      <c r="Q34">
        <v>0</v>
      </c>
      <c r="R34">
        <v>0</v>
      </c>
      <c r="S34">
        <v>0</v>
      </c>
      <c r="T34" t="str">
        <v>Oxford, UK</v>
      </c>
      <c r="U34" t="str">
        <v>Sophia Green</v>
      </c>
    </row>
    <row r="35" spans="1:21">
      <c r="A35" t="str">
        <v>E010</v>
      </c>
      <c r="B35" t="str">
        <v>Henry Jones</v>
      </c>
      <c r="C35" t="str">
        <v>HR</v>
      </c>
      <c r="D35">
        <v>48000</v>
      </c>
      <c r="E35" t="str">
        <v>High Salary</v>
      </c>
      <c r="F35">
        <v>2400</v>
      </c>
      <c r="G35" t="str">
        <v>Cambridge</v>
      </c>
      <c r="H35" t="str">
        <v xml:space="preserve"> UK</v>
      </c>
      <c r="I35">
        <v>0</v>
      </c>
      <c r="J35" t="str">
        <v>Robert King</v>
      </c>
      <c r="L35" t="str">
        <v>E006</v>
      </c>
      <c r="M35" t="str">
        <v>Emily Davies</v>
      </c>
      <c r="N35" t="str">
        <v>IT</v>
      </c>
      <c r="O35">
        <v>41000</v>
      </c>
      <c r="P35" t="str">
        <v>High Salary</v>
      </c>
      <c r="Q35">
        <v>2050</v>
      </c>
      <c r="R35" t="str">
        <v>Bristol</v>
      </c>
      <c r="S35" t="str">
        <v xml:space="preserve"> UK</v>
      </c>
      <c r="T35">
        <v>0</v>
      </c>
      <c r="U35" t="str">
        <v>Laura White</v>
      </c>
    </row>
    <row r="36" spans="1:21">
      <c r="A36" t="str">
        <v>E013</v>
      </c>
      <c r="B36" t="str">
        <v>Linda Evans</v>
      </c>
      <c r="C36" t="str">
        <v>HR</v>
      </c>
      <c r="D36">
        <v>46000</v>
      </c>
      <c r="E36">
        <v>0</v>
      </c>
      <c r="F36">
        <v>0</v>
      </c>
      <c r="G36">
        <v>0</v>
      </c>
      <c r="H36">
        <v>0</v>
      </c>
      <c r="I36" t="str">
        <v>Nottingham, UK</v>
      </c>
      <c r="J36" t="str">
        <v>Robert King</v>
      </c>
      <c r="L36" t="str">
        <v>E003</v>
      </c>
      <c r="M36" t="str">
        <v>Michael Brown</v>
      </c>
      <c r="N36" t="str">
        <v>HR</v>
      </c>
      <c r="O36">
        <v>39000</v>
      </c>
      <c r="P36" t="str">
        <v>Standard Salary</v>
      </c>
      <c r="Q36">
        <v>1950</v>
      </c>
      <c r="R36" t="str">
        <v>Birmingham</v>
      </c>
      <c r="S36" t="str">
        <v xml:space="preserve"> UK</v>
      </c>
      <c r="T36">
        <v>0</v>
      </c>
      <c r="U36" t="str">
        <v>Robert King</v>
      </c>
    </row>
    <row r="37" spans="1:21">
      <c r="L37" t="str">
        <v>E012</v>
      </c>
      <c r="M37" t="str">
        <v>Peter Clark</v>
      </c>
      <c r="N37" t="str">
        <v>IT</v>
      </c>
      <c r="O37">
        <v>38000</v>
      </c>
      <c r="P37">
        <v>0</v>
      </c>
      <c r="Q37">
        <v>0</v>
      </c>
      <c r="R37">
        <v>0</v>
      </c>
      <c r="S37">
        <v>0</v>
      </c>
      <c r="T37" t="str">
        <v>Cardiff, UK</v>
      </c>
      <c r="U37" t="str">
        <v>Laura White</v>
      </c>
    </row>
    <row r="38" spans="1:21">
      <c r="L38" t="str">
        <v>E004</v>
      </c>
      <c r="M38" t="str">
        <v>Aisha Bello</v>
      </c>
      <c r="N38" t="str">
        <v>Finance</v>
      </c>
      <c r="O38">
        <v>36000</v>
      </c>
      <c r="P38" t="str">
        <v>Standard Salary</v>
      </c>
      <c r="Q38">
        <v>1800</v>
      </c>
      <c r="R38" t="str">
        <v>Leeds</v>
      </c>
      <c r="S38" t="str">
        <v xml:space="preserve"> UK</v>
      </c>
      <c r="T38">
        <v>0</v>
      </c>
      <c r="U38" t="str">
        <v>Sophia Green</v>
      </c>
    </row>
    <row r="39" spans="1:21">
      <c r="L39" t="str">
        <v>E008</v>
      </c>
      <c r="M39" t="str">
        <v>Grace Taylor</v>
      </c>
      <c r="N39" t="str">
        <v>IT</v>
      </c>
      <c r="O39">
        <v>34000</v>
      </c>
      <c r="P39" t="str">
        <v>Standard Salary</v>
      </c>
      <c r="Q39">
        <v>1700</v>
      </c>
      <c r="R39" t="str">
        <v>Glasgow</v>
      </c>
      <c r="S39" t="str">
        <v xml:space="preserve"> UK</v>
      </c>
      <c r="T39">
        <v>0</v>
      </c>
      <c r="U39" t="str">
        <v>Laura White</v>
      </c>
    </row>
    <row r="40" spans="1:21">
      <c r="L40" t="str">
        <v>E001</v>
      </c>
      <c r="M40" t="str">
        <v>Sarah Johnson</v>
      </c>
      <c r="N40" t="str">
        <v>Finance</v>
      </c>
      <c r="O40">
        <v>32000</v>
      </c>
      <c r="P40" t="str">
        <v>Standard Salary</v>
      </c>
      <c r="Q40">
        <v>1600</v>
      </c>
      <c r="R40" t="str">
        <v>London</v>
      </c>
      <c r="S40" t="str">
        <v xml:space="preserve"> UK</v>
      </c>
      <c r="T40">
        <v>0</v>
      </c>
      <c r="U40" t="str">
        <v>Sophia Green</v>
      </c>
    </row>
    <row r="41" spans="1:21">
      <c r="L41" t="str">
        <v>E005</v>
      </c>
      <c r="M41" t="str">
        <v>James Wilson</v>
      </c>
      <c r="N41" t="str">
        <v>IT</v>
      </c>
      <c r="O41">
        <v>30000</v>
      </c>
      <c r="P41" t="str">
        <v>Standard Salary</v>
      </c>
      <c r="Q41">
        <v>1500</v>
      </c>
      <c r="R41" t="str">
        <v>Liverpool</v>
      </c>
      <c r="S41" t="str">
        <v xml:space="preserve"> UK</v>
      </c>
      <c r="T41">
        <v>0</v>
      </c>
      <c r="U41" t="str">
        <v>Laura White</v>
      </c>
    </row>
    <row r="42" spans="1:21">
      <c r="L42" t="str">
        <v>E009</v>
      </c>
      <c r="M42" t="str">
        <v>Olive Martin</v>
      </c>
      <c r="N42" t="str">
        <v>Finance</v>
      </c>
      <c r="O42">
        <v>0</v>
      </c>
      <c r="P42" t="str">
        <v>Missing Salary</v>
      </c>
      <c r="Q42">
        <v>0</v>
      </c>
      <c r="R42">
        <v>0</v>
      </c>
      <c r="S42">
        <v>0</v>
      </c>
      <c r="T42">
        <v>0</v>
      </c>
      <c r="U42" t="str">
        <v>Sophia Green</v>
      </c>
    </row>
    <row r="48" spans="1:21">
      <c r="A48" t="s">
        <v>73</v>
      </c>
    </row>
    <row r="49" spans="1:1">
      <c r="A49" t="str" cm="1">
        <f t="array" ref="A49:A51">_xlfn._xlws.SORT(_xlfn.UNIQUE(Cleaned_Employees[Department]))</f>
        <v>Finance</v>
      </c>
    </row>
    <row r="50" spans="1:1">
      <c r="A50" t="str">
        <v>HR</v>
      </c>
    </row>
    <row r="51" spans="1:1">
      <c r="A51" t="str">
        <v>IT</v>
      </c>
    </row>
  </sheetData>
  <phoneticPr fontId="2" type="noConversion"/>
  <conditionalFormatting sqref="D10 D12:D13">
    <cfRule type="containsBlanks" dxfId="36" priority="15">
      <formula>LEN(TRIM(D10))=0</formula>
    </cfRule>
  </conditionalFormatting>
  <conditionalFormatting sqref="A2:I14">
    <cfRule type="expression" dxfId="35" priority="1">
      <formula>AND($C2="Finance",$D2&lt;&gt;"",$D2&lt;35000)</formula>
    </cfRule>
    <cfRule type="expression" dxfId="34" priority="5">
      <formula>AND($C2="IT",$D2&gt;40000)</formula>
    </cfRule>
  </conditionalFormatting>
  <conditionalFormatting sqref="A2:G14">
    <cfRule type="expression" dxfId="33" priority="4">
      <formula>AND($C2="HR",$D2&gt;=45000)</formula>
    </cfRule>
  </conditionalFormatting>
  <conditionalFormatting sqref="D3:D1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{4540FA89-FEF8-470F-A99A-587DE728EF8A}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40FA89-FEF8-470F-A99A-587DE728EF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D3:D14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2B0F8-00FA-41B5-AFE6-B80CB37E0D07}">
  <dimension ref="A1:E4"/>
  <sheetViews>
    <sheetView workbookViewId="0">
      <selection activeCell="G8" sqref="G8"/>
    </sheetView>
  </sheetViews>
  <sheetFormatPr defaultRowHeight="14.4"/>
  <cols>
    <col min="1" max="1" width="14.33203125" bestFit="1" customWidth="1"/>
    <col min="2" max="2" width="12.33203125" bestFit="1" customWidth="1"/>
    <col min="3" max="3" width="13.33203125" bestFit="1" customWidth="1"/>
    <col min="4" max="4" width="8.33203125" bestFit="1" customWidth="1"/>
    <col min="5" max="5" width="14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39</v>
      </c>
    </row>
    <row r="2" spans="1:5">
      <c r="A2" s="3" t="s">
        <v>207</v>
      </c>
      <c r="B2" s="3" t="s">
        <v>216</v>
      </c>
      <c r="C2" s="3" t="s">
        <v>15</v>
      </c>
      <c r="D2">
        <v>43000</v>
      </c>
      <c r="E2" s="3" t="s">
        <v>209</v>
      </c>
    </row>
    <row r="3" spans="1:5">
      <c r="A3" s="3" t="s">
        <v>210</v>
      </c>
      <c r="B3" s="3" t="s">
        <v>217</v>
      </c>
      <c r="C3" s="3" t="s">
        <v>21</v>
      </c>
      <c r="D3">
        <v>38000</v>
      </c>
      <c r="E3" s="3" t="s">
        <v>212</v>
      </c>
    </row>
    <row r="4" spans="1:5">
      <c r="A4" s="3" t="s">
        <v>213</v>
      </c>
      <c r="B4" s="3" t="s">
        <v>218</v>
      </c>
      <c r="C4" s="3" t="s">
        <v>23</v>
      </c>
      <c r="D4">
        <v>46000</v>
      </c>
      <c r="E4" s="3" t="s">
        <v>215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CCA63-87A7-4750-A6AD-0BB5FE18454B}">
  <sheetPr>
    <tabColor rgb="FFFFC000"/>
  </sheetPr>
  <dimension ref="A4:E7"/>
  <sheetViews>
    <sheetView topLeftCell="A4" zoomScale="153" zoomScaleNormal="153" workbookViewId="0">
      <selection activeCell="B6" sqref="B6"/>
    </sheetView>
  </sheetViews>
  <sheetFormatPr defaultRowHeight="14.4"/>
  <cols>
    <col min="1" max="1" width="13.21875" customWidth="1"/>
    <col min="2" max="2" width="13.44140625" customWidth="1"/>
    <col min="3" max="3" width="21.109375" customWidth="1"/>
    <col min="5" max="5" width="21.88671875" customWidth="1"/>
  </cols>
  <sheetData>
    <row r="4" spans="1:5" ht="21" customHeight="1">
      <c r="A4" s="1" t="s">
        <v>0</v>
      </c>
      <c r="B4" s="1" t="s">
        <v>1</v>
      </c>
      <c r="C4" s="1" t="s">
        <v>2</v>
      </c>
      <c r="D4" s="6" t="s">
        <v>3</v>
      </c>
      <c r="E4" s="1" t="s">
        <v>39</v>
      </c>
    </row>
    <row r="5" spans="1:5" ht="21" customHeight="1">
      <c r="A5" s="2" t="s">
        <v>207</v>
      </c>
      <c r="B5" s="2" t="s">
        <v>208</v>
      </c>
      <c r="C5" s="2" t="s">
        <v>6</v>
      </c>
      <c r="D5" s="5">
        <v>43000</v>
      </c>
      <c r="E5" s="2" t="s">
        <v>209</v>
      </c>
    </row>
    <row r="6" spans="1:5" ht="21.6" customHeight="1">
      <c r="A6" s="2" t="s">
        <v>210</v>
      </c>
      <c r="B6" s="2" t="s">
        <v>211</v>
      </c>
      <c r="C6" s="2" t="s">
        <v>9</v>
      </c>
      <c r="D6" s="5">
        <v>38000</v>
      </c>
      <c r="E6" s="2" t="s">
        <v>212</v>
      </c>
    </row>
    <row r="7" spans="1:5" ht="21.6" customHeight="1">
      <c r="A7" s="2" t="s">
        <v>213</v>
      </c>
      <c r="B7" s="2" t="s">
        <v>214</v>
      </c>
      <c r="C7" s="2" t="s">
        <v>12</v>
      </c>
      <c r="D7" s="5">
        <v>46000</v>
      </c>
      <c r="E7" s="2" t="s">
        <v>215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E181C-F03A-4F7B-A6B2-429017A3BDCF}">
  <sheetPr>
    <tabColor rgb="FF002060"/>
  </sheetPr>
  <dimension ref="A1:E12"/>
  <sheetViews>
    <sheetView zoomScale="150" zoomScaleNormal="150" workbookViewId="0">
      <selection activeCell="C1" sqref="C1"/>
    </sheetView>
  </sheetViews>
  <sheetFormatPr defaultRowHeight="14.4"/>
  <cols>
    <col min="1" max="1" width="13.33203125" customWidth="1"/>
    <col min="2" max="2" width="15.44140625" customWidth="1"/>
    <col min="3" max="3" width="21.109375" customWidth="1"/>
    <col min="5" max="5" width="16.77734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39</v>
      </c>
    </row>
    <row r="2" spans="1:5">
      <c r="A2" s="2" t="s">
        <v>4</v>
      </c>
      <c r="B2" s="2" t="s">
        <v>5</v>
      </c>
      <c r="C2" s="2" t="s">
        <v>6</v>
      </c>
      <c r="D2" s="2">
        <v>32000</v>
      </c>
      <c r="E2" t="s">
        <v>40</v>
      </c>
    </row>
    <row r="3" spans="1:5">
      <c r="A3" s="2" t="s">
        <v>7</v>
      </c>
      <c r="B3" s="2" t="s">
        <v>8</v>
      </c>
      <c r="C3" s="2" t="s">
        <v>9</v>
      </c>
      <c r="D3" s="2">
        <v>45000</v>
      </c>
      <c r="E3" t="s">
        <v>41</v>
      </c>
    </row>
    <row r="4" spans="1:5">
      <c r="A4" s="2" t="s">
        <v>10</v>
      </c>
      <c r="B4" s="2" t="s">
        <v>11</v>
      </c>
      <c r="C4" s="2" t="s">
        <v>12</v>
      </c>
      <c r="D4" s="2">
        <v>39000</v>
      </c>
      <c r="E4" t="s">
        <v>42</v>
      </c>
    </row>
    <row r="5" spans="1:5">
      <c r="A5" s="2" t="s">
        <v>13</v>
      </c>
      <c r="B5" s="2" t="s">
        <v>14</v>
      </c>
      <c r="C5" s="2" t="s">
        <v>15</v>
      </c>
      <c r="D5" s="2">
        <v>36000</v>
      </c>
      <c r="E5" t="s">
        <v>43</v>
      </c>
    </row>
    <row r="6" spans="1:5">
      <c r="A6" s="2" t="s">
        <v>16</v>
      </c>
      <c r="B6" s="2" t="s">
        <v>17</v>
      </c>
      <c r="C6" s="2" t="s">
        <v>18</v>
      </c>
      <c r="D6" s="2">
        <v>30000</v>
      </c>
      <c r="E6" t="s">
        <v>44</v>
      </c>
    </row>
    <row r="7" spans="1:5">
      <c r="A7" s="2" t="s">
        <v>26</v>
      </c>
      <c r="B7" s="2" t="s">
        <v>27</v>
      </c>
      <c r="C7" s="2" t="s">
        <v>9</v>
      </c>
      <c r="D7" s="2">
        <v>41000</v>
      </c>
      <c r="E7" t="s">
        <v>45</v>
      </c>
    </row>
    <row r="8" spans="1:5">
      <c r="A8" s="2" t="s">
        <v>28</v>
      </c>
      <c r="B8" s="2" t="s">
        <v>29</v>
      </c>
      <c r="C8" s="2" t="s">
        <v>12</v>
      </c>
      <c r="D8" s="2">
        <v>52000</v>
      </c>
      <c r="E8" t="s">
        <v>46</v>
      </c>
    </row>
    <row r="9" spans="1:5">
      <c r="A9" s="2" t="s">
        <v>32</v>
      </c>
      <c r="B9" s="2" t="s">
        <v>33</v>
      </c>
      <c r="C9" s="2" t="s">
        <v>34</v>
      </c>
      <c r="D9" s="2">
        <v>34000</v>
      </c>
      <c r="E9" t="s">
        <v>47</v>
      </c>
    </row>
    <row r="10" spans="1:5">
      <c r="A10" s="2" t="s">
        <v>32</v>
      </c>
      <c r="B10" s="2" t="s">
        <v>33</v>
      </c>
      <c r="C10" s="2" t="s">
        <v>34</v>
      </c>
      <c r="D10" s="2">
        <v>34000</v>
      </c>
      <c r="E10" t="s">
        <v>48</v>
      </c>
    </row>
    <row r="11" spans="1:5">
      <c r="A11" s="2" t="s">
        <v>36</v>
      </c>
      <c r="B11" s="2" t="s">
        <v>37</v>
      </c>
      <c r="C11" s="2" t="s">
        <v>6</v>
      </c>
      <c r="D11" s="2"/>
      <c r="E11" s="2"/>
    </row>
    <row r="12" spans="1:5">
      <c r="A12" s="2" t="s">
        <v>65</v>
      </c>
      <c r="B12" s="2" t="s">
        <v>66</v>
      </c>
      <c r="C12" s="2" t="s">
        <v>12</v>
      </c>
      <c r="D12" s="2">
        <v>48000</v>
      </c>
      <c r="E12" s="2" t="s">
        <v>67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1185E-D851-46D8-93FC-0AE207CBD2D5}">
  <sheetPr>
    <tabColor theme="9" tint="-0.499984740745262"/>
  </sheetPr>
  <dimension ref="A1:V15"/>
  <sheetViews>
    <sheetView topLeftCell="M1" zoomScale="161" zoomScaleNormal="161" workbookViewId="0">
      <selection activeCell="V7" sqref="V7"/>
    </sheetView>
  </sheetViews>
  <sheetFormatPr defaultRowHeight="14.4"/>
  <cols>
    <col min="1" max="1" width="35" customWidth="1"/>
    <col min="10" max="10" width="21.21875" customWidth="1"/>
    <col min="13" max="13" width="22.77734375" customWidth="1"/>
  </cols>
  <sheetData>
    <row r="1" spans="1:22">
      <c r="A1" s="4" t="s">
        <v>70</v>
      </c>
      <c r="J1" s="4" t="s">
        <v>71</v>
      </c>
    </row>
    <row r="2" spans="1:22">
      <c r="A2" t="e" cm="1" vm="2">
        <f t="array" aca="1" ref="A2" ca="1">_xlfn._xlws.FILTER(Cleaned_Employees[],Cleaned_Employees[Department]="IT" )</f>
        <v>#VALUE!</v>
      </c>
      <c r="J2" t="s">
        <v>15</v>
      </c>
      <c r="M2" t="str" cm="1">
        <f t="array" ref="M2:V14">_xlfn._xlws.SORT(Cleaned_Employees[],4,1)</f>
        <v>E005</v>
      </c>
      <c r="N2" t="str">
        <v>James Wilson</v>
      </c>
      <c r="O2" t="str">
        <v>IT</v>
      </c>
      <c r="P2">
        <v>30000</v>
      </c>
      <c r="Q2" t="str">
        <v>Standard Salary</v>
      </c>
      <c r="R2">
        <v>1500</v>
      </c>
      <c r="S2" t="str">
        <v>Liverpool</v>
      </c>
      <c r="T2" t="str">
        <v xml:space="preserve"> UK</v>
      </c>
      <c r="U2">
        <v>0</v>
      </c>
      <c r="V2" t="str">
        <v>Laura White</v>
      </c>
    </row>
    <row r="3" spans="1:22">
      <c r="M3" t="str">
        <v>E001</v>
      </c>
      <c r="N3" t="str">
        <v>Sarah Johnson</v>
      </c>
      <c r="O3" t="str">
        <v>Finance</v>
      </c>
      <c r="P3">
        <v>32000</v>
      </c>
      <c r="Q3" t="str">
        <v>Standard Salary</v>
      </c>
      <c r="R3">
        <v>1600</v>
      </c>
      <c r="S3" t="str">
        <v>London</v>
      </c>
      <c r="T3" t="str">
        <v xml:space="preserve"> UK</v>
      </c>
      <c r="U3">
        <v>0</v>
      </c>
      <c r="V3" t="str">
        <v>Sophia Green</v>
      </c>
    </row>
    <row r="4" spans="1:22">
      <c r="J4" t="str" cm="1">
        <f t="array" ref="J4:J7">_xlfn._xlws.FILTER(Cleaned_Employees[Name],Cleaned_Employees[Department]=J2,"No Employees Found")</f>
        <v>Sarah Johnson</v>
      </c>
      <c r="M4" t="str">
        <v>E008</v>
      </c>
      <c r="N4" t="str">
        <v>Grace Taylor</v>
      </c>
      <c r="O4" t="str">
        <v>IT</v>
      </c>
      <c r="P4">
        <v>34000</v>
      </c>
      <c r="Q4" t="str">
        <v>Standard Salary</v>
      </c>
      <c r="R4">
        <v>1700</v>
      </c>
      <c r="S4" t="str">
        <v>Glasgow</v>
      </c>
      <c r="T4" t="str">
        <v xml:space="preserve"> UK</v>
      </c>
      <c r="U4">
        <v>0</v>
      </c>
      <c r="V4" t="str">
        <v>Laura White</v>
      </c>
    </row>
    <row r="5" spans="1:22">
      <c r="J5" t="str">
        <v>Aisha Bello</v>
      </c>
      <c r="M5" t="str">
        <v>E004</v>
      </c>
      <c r="N5" t="str">
        <v>Aisha Bello</v>
      </c>
      <c r="O5" t="str">
        <v>Finance</v>
      </c>
      <c r="P5">
        <v>36000</v>
      </c>
      <c r="Q5" t="str">
        <v>Standard Salary</v>
      </c>
      <c r="R5">
        <v>1800</v>
      </c>
      <c r="S5" t="str">
        <v>Leeds</v>
      </c>
      <c r="T5" t="str">
        <v xml:space="preserve"> UK</v>
      </c>
      <c r="U5">
        <v>0</v>
      </c>
      <c r="V5" t="str">
        <v>Sophia Green</v>
      </c>
    </row>
    <row r="6" spans="1:22">
      <c r="J6" t="str">
        <v>Olive Martin</v>
      </c>
      <c r="M6" t="str">
        <v>E012</v>
      </c>
      <c r="N6" t="str">
        <v>Peter Clark</v>
      </c>
      <c r="O6" t="str">
        <v>IT</v>
      </c>
      <c r="P6">
        <v>38000</v>
      </c>
      <c r="Q6">
        <v>0</v>
      </c>
      <c r="R6">
        <v>0</v>
      </c>
      <c r="S6">
        <v>0</v>
      </c>
      <c r="T6">
        <v>0</v>
      </c>
      <c r="U6" t="str">
        <v>Cardiff, UK</v>
      </c>
      <c r="V6" t="str">
        <v>Laura White</v>
      </c>
    </row>
    <row r="7" spans="1:22">
      <c r="A7" cm="1">
        <f t="array" ref="A7:A11">_xlfn._xlws.FILTER(Cleaned_Employees[Salary],Cleaned_Employees[Department]="IT"  )</f>
        <v>45000</v>
      </c>
      <c r="J7" t="str">
        <v>Rachel Adams</v>
      </c>
      <c r="M7" t="str">
        <v>E003</v>
      </c>
      <c r="N7" t="str">
        <v>Michael Brown</v>
      </c>
      <c r="O7" t="str">
        <v>HR</v>
      </c>
      <c r="P7">
        <v>39000</v>
      </c>
      <c r="Q7" t="str">
        <v>Standard Salary</v>
      </c>
      <c r="R7">
        <v>1950</v>
      </c>
      <c r="S7" t="str">
        <v>Birmingham</v>
      </c>
      <c r="T7" t="str">
        <v xml:space="preserve"> UK</v>
      </c>
      <c r="U7">
        <v>0</v>
      </c>
      <c r="V7" t="str">
        <v>Robert King</v>
      </c>
    </row>
    <row r="8" spans="1:22">
      <c r="A8">
        <v>30000</v>
      </c>
      <c r="M8" t="str">
        <v>E006</v>
      </c>
      <c r="N8" t="str">
        <v>Emily Davies</v>
      </c>
      <c r="O8" t="str">
        <v>IT</v>
      </c>
      <c r="P8">
        <v>41000</v>
      </c>
      <c r="Q8" t="str">
        <v>High Salary</v>
      </c>
      <c r="R8">
        <v>2050</v>
      </c>
      <c r="S8" t="str">
        <v>Bristol</v>
      </c>
      <c r="T8" t="str">
        <v xml:space="preserve"> UK</v>
      </c>
      <c r="U8">
        <v>0</v>
      </c>
      <c r="V8" t="str">
        <v>Laura White</v>
      </c>
    </row>
    <row r="9" spans="1:22">
      <c r="A9">
        <v>41000</v>
      </c>
      <c r="M9" t="str">
        <v>E011</v>
      </c>
      <c r="N9" t="str">
        <v>Rachel Adams</v>
      </c>
      <c r="O9" t="str">
        <v>Finance</v>
      </c>
      <c r="P9">
        <v>43000</v>
      </c>
      <c r="Q9">
        <v>0</v>
      </c>
      <c r="R9">
        <v>0</v>
      </c>
      <c r="S9">
        <v>0</v>
      </c>
      <c r="T9">
        <v>0</v>
      </c>
      <c r="U9" t="str">
        <v>Oxford, UK</v>
      </c>
      <c r="V9" t="str">
        <v>Sophia Green</v>
      </c>
    </row>
    <row r="10" spans="1:22">
      <c r="A10">
        <v>34000</v>
      </c>
      <c r="M10" t="str">
        <v>E002</v>
      </c>
      <c r="N10" t="str">
        <v>David Smith</v>
      </c>
      <c r="O10" t="str">
        <v>IT</v>
      </c>
      <c r="P10">
        <v>45000</v>
      </c>
      <c r="Q10" t="str">
        <v>High Salary</v>
      </c>
      <c r="R10">
        <v>2250</v>
      </c>
      <c r="S10" t="str">
        <v>Manchester</v>
      </c>
      <c r="T10" t="str">
        <v xml:space="preserve"> UK</v>
      </c>
      <c r="U10">
        <v>0</v>
      </c>
      <c r="V10" t="str">
        <v>Laura White</v>
      </c>
    </row>
    <row r="11" spans="1:22">
      <c r="A11">
        <v>38000</v>
      </c>
      <c r="M11" t="str">
        <v>E013</v>
      </c>
      <c r="N11" t="str">
        <v>Linda Evans</v>
      </c>
      <c r="O11" t="str">
        <v>HR</v>
      </c>
      <c r="P11">
        <v>46000</v>
      </c>
      <c r="Q11">
        <v>0</v>
      </c>
      <c r="R11">
        <v>0</v>
      </c>
      <c r="S11">
        <v>0</v>
      </c>
      <c r="T11">
        <v>0</v>
      </c>
      <c r="U11" t="str">
        <v>Nottingham, UK</v>
      </c>
      <c r="V11" t="str">
        <v>Robert King</v>
      </c>
    </row>
    <row r="12" spans="1:22">
      <c r="A12" t="str" cm="1">
        <f t="array" ref="A12:A15">_xlfn._xlws.FILTER(Cleaned_Employees[Name],Cleaned_Employees[Department]="Finance"  )</f>
        <v>Sarah Johnson</v>
      </c>
      <c r="M12" t="str">
        <v>E010</v>
      </c>
      <c r="N12" t="str">
        <v>Henry Jones</v>
      </c>
      <c r="O12" t="str">
        <v>HR</v>
      </c>
      <c r="P12">
        <v>48000</v>
      </c>
      <c r="Q12" t="str">
        <v>High Salary</v>
      </c>
      <c r="R12">
        <v>2400</v>
      </c>
      <c r="S12" t="str">
        <v>Cambridge</v>
      </c>
      <c r="T12" t="str">
        <v xml:space="preserve"> UK</v>
      </c>
      <c r="U12">
        <v>0</v>
      </c>
      <c r="V12" t="str">
        <v>Robert King</v>
      </c>
    </row>
    <row r="13" spans="1:22">
      <c r="A13" t="str">
        <v>Aisha Bello</v>
      </c>
      <c r="M13" t="str">
        <v>E007</v>
      </c>
      <c r="N13" t="str">
        <v>Daniel Thomas</v>
      </c>
      <c r="O13" t="str">
        <v>HR</v>
      </c>
      <c r="P13">
        <v>52000</v>
      </c>
      <c r="Q13" t="str">
        <v>High Salary</v>
      </c>
      <c r="R13">
        <v>2600</v>
      </c>
      <c r="S13" t="str">
        <v>Sheffield</v>
      </c>
      <c r="T13" t="str">
        <v xml:space="preserve"> UK</v>
      </c>
      <c r="U13">
        <v>0</v>
      </c>
      <c r="V13" t="str">
        <v>Robert King</v>
      </c>
    </row>
    <row r="14" spans="1:22">
      <c r="A14" t="str">
        <v>Olive Martin</v>
      </c>
      <c r="M14" t="str">
        <v>E009</v>
      </c>
      <c r="N14" t="str">
        <v>Olive Martin</v>
      </c>
      <c r="O14" t="str">
        <v>Finance</v>
      </c>
      <c r="P14">
        <v>0</v>
      </c>
      <c r="Q14" t="str">
        <v>Missing Salary</v>
      </c>
      <c r="R14">
        <v>0</v>
      </c>
      <c r="S14">
        <v>0</v>
      </c>
      <c r="T14">
        <v>0</v>
      </c>
      <c r="U14">
        <v>0</v>
      </c>
      <c r="V14" t="str">
        <v>Sophia Green</v>
      </c>
    </row>
    <row r="15" spans="1:22">
      <c r="A15" t="str">
        <v>Rachel Adams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9140E-E79D-4FDD-B1A7-6E426159D5C5}">
  <sheetPr>
    <tabColor theme="7"/>
  </sheetPr>
  <dimension ref="A1:AD26"/>
  <sheetViews>
    <sheetView topLeftCell="A20" zoomScale="141" zoomScaleNormal="141" workbookViewId="0">
      <selection activeCell="F25" sqref="F25"/>
    </sheetView>
  </sheetViews>
  <sheetFormatPr defaultRowHeight="14.4"/>
  <cols>
    <col min="1" max="1" width="19.77734375" customWidth="1"/>
    <col min="2" max="2" width="14.109375" customWidth="1"/>
    <col min="3" max="3" width="12.5546875" customWidth="1"/>
    <col min="4" max="4" width="19" customWidth="1"/>
    <col min="6" max="6" width="14.6640625" customWidth="1"/>
    <col min="8" max="8" width="18.5546875" customWidth="1"/>
    <col min="10" max="10" width="20.5546875" customWidth="1"/>
    <col min="12" max="12" width="21.33203125" customWidth="1"/>
    <col min="14" max="14" width="21.109375" customWidth="1"/>
    <col min="16" max="16" width="27.6640625" customWidth="1"/>
    <col min="18" max="18" width="18.77734375" customWidth="1"/>
    <col min="19" max="19" width="21" customWidth="1"/>
    <col min="21" max="21" width="14.6640625" customWidth="1"/>
    <col min="26" max="26" width="19" customWidth="1"/>
    <col min="28" max="28" width="12.44140625" customWidth="1"/>
  </cols>
  <sheetData>
    <row r="1" spans="1:30">
      <c r="A1" s="4" t="s">
        <v>74</v>
      </c>
      <c r="B1" s="4" t="s">
        <v>75</v>
      </c>
      <c r="D1" s="4" t="s">
        <v>76</v>
      </c>
      <c r="F1" s="4" t="s">
        <v>78</v>
      </c>
      <c r="H1" s="4" t="s">
        <v>79</v>
      </c>
      <c r="J1" s="4" t="s">
        <v>80</v>
      </c>
      <c r="L1" t="s">
        <v>81</v>
      </c>
      <c r="N1" t="s">
        <v>82</v>
      </c>
      <c r="P1" t="s">
        <v>83</v>
      </c>
      <c r="R1" t="s">
        <v>84</v>
      </c>
      <c r="S1" t="s">
        <v>85</v>
      </c>
    </row>
    <row r="2" spans="1:30">
      <c r="A2" t="s">
        <v>36</v>
      </c>
      <c r="B2">
        <f>MATCH(A2, Cleaned_Employees[Employee_ID], 0)</f>
        <v>9</v>
      </c>
      <c r="D2" t="s">
        <v>24</v>
      </c>
      <c r="F2">
        <f>INDEX(Cleaned_Employees[Salary],MATCH(A2,Cleaned_Employees[Employee_ID],0))</f>
        <v>0</v>
      </c>
      <c r="J2" t="str">
        <f>INDEX(Cleaned_Employees[Department],MATCH(A2,Cleaned_Employees[Employee_ID],0))</f>
        <v>Finance</v>
      </c>
      <c r="L2">
        <f>_xlfn.XMATCH(A2,Cleaned_Employees[Employee_ID])</f>
        <v>9</v>
      </c>
      <c r="N2" t="str" cm="1">
        <f t="array" ref="N2">INDEX(Cleaned_Employees[Name],_xlfn.XMATCH(A2,Cleaned_Employees[Employee_ID]))</f>
        <v>Olive Martin</v>
      </c>
      <c r="P2" t="str" cm="1">
        <f t="array" ref="P2">INDEX(Cleaned_Employees[Department],_xlfn.XMATCH(A2,Cleaned_Employees[Employee_ID]))</f>
        <v>Finance</v>
      </c>
      <c r="R2" t="s">
        <v>16</v>
      </c>
      <c r="S2" t="str">
        <f>_xlfn.XLOOKUP(R2,Cleaned_Employees[Employee_ID],Cleaned_Employees[Name],"Employee Not Found")</f>
        <v>James Wilson</v>
      </c>
    </row>
    <row r="3" spans="1:30">
      <c r="F3" t="str">
        <f>INDEX(Cleaned_Employees[Name],MATCH(A2,Cleaned_Employees[Employee_ID],0))</f>
        <v>Olive Martin</v>
      </c>
    </row>
    <row r="4" spans="1:30">
      <c r="D4" t="s">
        <v>77</v>
      </c>
    </row>
    <row r="5" spans="1:30">
      <c r="D5">
        <f>INDEX(Cleaned_Employees[Salary],7)</f>
        <v>52000</v>
      </c>
      <c r="R5" t="s">
        <v>86</v>
      </c>
    </row>
    <row r="6" spans="1:30">
      <c r="R6" t="s">
        <v>87</v>
      </c>
      <c r="S6" t="str">
        <f>_xlfn.XLOOKUP(R6,Cleaned_Employees[Name],Cleaned_Employees[Employee_ID],"Not Found",2)</f>
        <v>E005</v>
      </c>
    </row>
    <row r="7" spans="1:30">
      <c r="R7" t="s">
        <v>88</v>
      </c>
    </row>
    <row r="10" spans="1:30">
      <c r="R10" s="7" t="s">
        <v>89</v>
      </c>
      <c r="S10" s="6" t="s">
        <v>90</v>
      </c>
      <c r="U10" t="s">
        <v>94</v>
      </c>
      <c r="W10" s="7" t="s">
        <v>90</v>
      </c>
      <c r="X10" s="7" t="s">
        <v>95</v>
      </c>
      <c r="Z10" t="s">
        <v>101</v>
      </c>
      <c r="AB10" t="str" cm="1">
        <f t="array" ref="AB10:AD10">_xlfn.XLOOKUP(A2,Cleaned_Employees[Employee_ID],Cleaned_Employees[[Name]:[Salary]])</f>
        <v>Olive Martin</v>
      </c>
      <c r="AC10" t="str">
        <v>Finance</v>
      </c>
      <c r="AD10">
        <v>0</v>
      </c>
    </row>
    <row r="11" spans="1:30">
      <c r="R11" s="2" t="s">
        <v>91</v>
      </c>
      <c r="S11" s="5">
        <v>500</v>
      </c>
      <c r="U11">
        <f>_xlfn.XLOOKUP("James",R11:R15,S11:S15,"Not Found",0,1)</f>
        <v>500</v>
      </c>
      <c r="W11" s="2">
        <v>500</v>
      </c>
      <c r="X11" s="2" t="s">
        <v>96</v>
      </c>
      <c r="Z11" t="str">
        <f>_xlfn.XLOOKUP(900,W11:W15,X11:X15,"Not Found",0,2)</f>
        <v>Very Good</v>
      </c>
    </row>
    <row r="12" spans="1:30">
      <c r="R12" s="2" t="s">
        <v>92</v>
      </c>
      <c r="S12" s="5">
        <v>700</v>
      </c>
      <c r="W12" s="2">
        <v>600</v>
      </c>
      <c r="X12" s="2" t="s">
        <v>97</v>
      </c>
    </row>
    <row r="13" spans="1:30">
      <c r="R13" s="2" t="s">
        <v>91</v>
      </c>
      <c r="S13" s="5">
        <v>900</v>
      </c>
      <c r="W13" s="2">
        <v>700</v>
      </c>
      <c r="X13" s="2" t="s">
        <v>98</v>
      </c>
    </row>
    <row r="14" spans="1:30" ht="28.8">
      <c r="R14" s="2" t="s">
        <v>93</v>
      </c>
      <c r="S14" s="5">
        <v>600</v>
      </c>
      <c r="W14" s="2">
        <v>900</v>
      </c>
      <c r="X14" s="2" t="s">
        <v>99</v>
      </c>
    </row>
    <row r="15" spans="1:30">
      <c r="R15" s="2" t="s">
        <v>91</v>
      </c>
      <c r="S15" s="5">
        <v>1200</v>
      </c>
      <c r="W15" s="2">
        <v>1200</v>
      </c>
      <c r="X15" s="2" t="s">
        <v>100</v>
      </c>
    </row>
    <row r="20" spans="1:3">
      <c r="A20" s="4" t="s">
        <v>88</v>
      </c>
      <c r="B20" s="4" t="s">
        <v>102</v>
      </c>
      <c r="C20" s="4" t="s">
        <v>103</v>
      </c>
    </row>
    <row r="21" spans="1:3">
      <c r="A21" s="2" t="s">
        <v>26</v>
      </c>
      <c r="B21" s="2" t="s">
        <v>50</v>
      </c>
      <c r="C21" cm="1">
        <f t="array" ref="C21">_xlfn.XLOOKUP(A21,Cleaned_Employees[Employee_ID],_xlfn.XLOOKUP(B21,Cleaned_Employees[#Headers],Cleaned_Employees[]))</f>
        <v>2050</v>
      </c>
    </row>
    <row r="22" spans="1:3">
      <c r="A22" s="8"/>
      <c r="B22" s="8"/>
    </row>
    <row r="25" spans="1:3">
      <c r="A25" s="4" t="s">
        <v>88</v>
      </c>
      <c r="B25" s="4" t="s">
        <v>104</v>
      </c>
      <c r="C25" s="4" t="s">
        <v>103</v>
      </c>
    </row>
    <row r="26" spans="1:3">
      <c r="A26" t="s">
        <v>65</v>
      </c>
      <c r="B26" t="s">
        <v>51</v>
      </c>
      <c r="C26" t="str" cm="1">
        <f t="array" ref="C26">_xlfn.XLOOKUP(A26,Cleaned_Employees[Employee_ID],_xlfn.XLOOKUP(B26,Cleaned_Employees[#Headers],Cleaned_Employees[]))</f>
        <v>Cambridge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C263-9219-4E3D-BEA4-0D0A4CC53E65}">
  <sheetPr>
    <tabColor rgb="FF7030A0"/>
  </sheetPr>
  <dimension ref="A1:AG85"/>
  <sheetViews>
    <sheetView topLeftCell="X79" zoomScale="158" zoomScaleNormal="158" workbookViewId="0">
      <selection activeCell="Z87" sqref="Z87"/>
    </sheetView>
  </sheetViews>
  <sheetFormatPr defaultRowHeight="14.4"/>
  <cols>
    <col min="1" max="1" width="10.6640625" customWidth="1"/>
    <col min="2" max="2" width="18.77734375" customWidth="1"/>
    <col min="4" max="4" width="11.6640625" customWidth="1"/>
    <col min="5" max="5" width="11.77734375" customWidth="1"/>
    <col min="6" max="6" width="15.77734375" customWidth="1"/>
    <col min="8" max="8" width="11.44140625" customWidth="1"/>
    <col min="12" max="12" width="13.21875" customWidth="1"/>
    <col min="13" max="13" width="10.33203125" customWidth="1"/>
    <col min="15" max="15" width="14.5546875" customWidth="1"/>
    <col min="16" max="16" width="18.88671875" customWidth="1"/>
    <col min="18" max="18" width="12.109375" customWidth="1"/>
    <col min="19" max="19" width="14.33203125" customWidth="1"/>
    <col min="20" max="20" width="17.5546875" customWidth="1"/>
    <col min="21" max="21" width="18.21875" customWidth="1"/>
    <col min="22" max="22" width="24.44140625" customWidth="1"/>
    <col min="24" max="24" width="18.44140625" customWidth="1"/>
    <col min="25" max="25" width="18.77734375" customWidth="1"/>
    <col min="26" max="26" width="19.6640625" customWidth="1"/>
    <col min="27" max="27" width="16.21875" customWidth="1"/>
    <col min="28" max="28" width="17.21875" customWidth="1"/>
    <col min="29" max="29" width="17.5546875" customWidth="1"/>
    <col min="30" max="30" width="15.44140625" customWidth="1"/>
    <col min="31" max="31" width="13.109375" customWidth="1"/>
    <col min="32" max="32" width="11.33203125" customWidth="1"/>
    <col min="33" max="33" width="12.6640625" customWidth="1"/>
  </cols>
  <sheetData>
    <row r="1" spans="1:28" ht="19.8" customHeight="1">
      <c r="A1" s="11" t="s">
        <v>105</v>
      </c>
      <c r="B1" s="4" t="s">
        <v>106</v>
      </c>
      <c r="D1" s="7" t="s">
        <v>107</v>
      </c>
      <c r="E1" s="7" t="s">
        <v>108</v>
      </c>
      <c r="F1" s="7" t="s">
        <v>109</v>
      </c>
      <c r="H1" s="7" t="s">
        <v>105</v>
      </c>
      <c r="I1" s="7" t="s">
        <v>110</v>
      </c>
      <c r="J1" s="7" t="s">
        <v>111</v>
      </c>
      <c r="K1" s="7" t="s">
        <v>112</v>
      </c>
      <c r="L1" s="4" t="s">
        <v>113</v>
      </c>
      <c r="M1" s="4" t="s">
        <v>114</v>
      </c>
      <c r="O1" s="4" t="s">
        <v>115</v>
      </c>
      <c r="P1" s="4" t="s">
        <v>116</v>
      </c>
      <c r="R1" s="4" t="s">
        <v>107</v>
      </c>
      <c r="S1" s="4" t="s">
        <v>117</v>
      </c>
      <c r="T1" s="17" t="s">
        <v>118</v>
      </c>
      <c r="U1" s="4" t="s">
        <v>119</v>
      </c>
      <c r="V1" s="4" t="s">
        <v>120</v>
      </c>
      <c r="X1" s="4" t="s">
        <v>105</v>
      </c>
      <c r="Y1" s="4" t="s">
        <v>121</v>
      </c>
    </row>
    <row r="2" spans="1:28">
      <c r="A2" s="12">
        <v>46023</v>
      </c>
      <c r="B2" s="3">
        <f>A2</f>
        <v>46023</v>
      </c>
      <c r="D2" s="10">
        <v>46023</v>
      </c>
      <c r="E2" s="10">
        <v>46037</v>
      </c>
      <c r="F2">
        <f>E2-D2</f>
        <v>14</v>
      </c>
      <c r="H2" s="10">
        <v>46288</v>
      </c>
      <c r="I2">
        <f>YEAR(H2)</f>
        <v>2026</v>
      </c>
      <c r="J2">
        <f>MONTH(H2)</f>
        <v>9</v>
      </c>
      <c r="K2">
        <f>DAY(H2)</f>
        <v>23</v>
      </c>
      <c r="L2" t="str">
        <f>TEXT(H2,"mmmm")</f>
        <v>September</v>
      </c>
      <c r="M2" t="str">
        <f>TEXT(H2,"dddd")</f>
        <v>Wednesday</v>
      </c>
      <c r="O2" s="9">
        <f ca="1">TODAY()</f>
        <v>46317</v>
      </c>
      <c r="P2" s="13">
        <f ca="1">NOW()</f>
        <v>46317.61383923611</v>
      </c>
      <c r="R2" s="9">
        <v>43266</v>
      </c>
      <c r="S2">
        <f ca="1">DATEDIF(R2,TODAY(),"Y")</f>
        <v>8</v>
      </c>
      <c r="T2">
        <f ca="1">DATEDIF(R2,TODAY(),"YM")</f>
        <v>4</v>
      </c>
      <c r="U2">
        <f ca="1">DATEDIF(R2,TODAY(),"MD")</f>
        <v>7</v>
      </c>
      <c r="V2" t="str">
        <f ca="1">S2&amp;" Years, "&amp;T2&amp;" Months, "&amp;U2&amp;" Days"</f>
        <v>8 Years, 4 Months, 7 Days</v>
      </c>
      <c r="X2" s="9">
        <v>46280</v>
      </c>
      <c r="Y2" s="9">
        <f>EOMONTH(X2,1)</f>
        <v>46326</v>
      </c>
    </row>
    <row r="3" spans="1:28">
      <c r="I3" s="2"/>
      <c r="J3" s="2"/>
      <c r="K3" s="2"/>
    </row>
    <row r="5" spans="1:28">
      <c r="X5" s="4" t="s">
        <v>107</v>
      </c>
      <c r="Y5" s="4" t="s">
        <v>122</v>
      </c>
    </row>
    <row r="6" spans="1:28">
      <c r="X6" s="9">
        <v>46280</v>
      </c>
      <c r="Y6" s="9">
        <f>EDATE(X6,12)</f>
        <v>46645</v>
      </c>
    </row>
    <row r="9" spans="1:28">
      <c r="X9" s="4" t="s">
        <v>107</v>
      </c>
      <c r="Y9" s="4" t="s">
        <v>123</v>
      </c>
    </row>
    <row r="10" spans="1:28">
      <c r="X10" s="9">
        <v>46286</v>
      </c>
      <c r="Y10" s="9">
        <f>WORKDAY(X10,-10)</f>
        <v>46272</v>
      </c>
    </row>
    <row r="13" spans="1:28">
      <c r="X13" s="4" t="s">
        <v>107</v>
      </c>
      <c r="Y13" s="4" t="s">
        <v>108</v>
      </c>
      <c r="Z13" s="4" t="s">
        <v>124</v>
      </c>
      <c r="AB13" s="4" t="s">
        <v>125</v>
      </c>
    </row>
    <row r="14" spans="1:28">
      <c r="X14" s="9">
        <v>46266</v>
      </c>
      <c r="Y14" s="9">
        <v>46295</v>
      </c>
      <c r="Z14">
        <f>NETWORKDAYS(X14,Y14,AB14)</f>
        <v>21</v>
      </c>
      <c r="AB14" s="14">
        <v>46279</v>
      </c>
    </row>
    <row r="17" spans="24:29">
      <c r="X17" s="4" t="s">
        <v>105</v>
      </c>
      <c r="Y17" s="4" t="s">
        <v>126</v>
      </c>
    </row>
    <row r="18" spans="24:29">
      <c r="X18" s="9">
        <v>46288</v>
      </c>
      <c r="Y18">
        <f>WEEKDAY(X18)</f>
        <v>4</v>
      </c>
    </row>
    <row r="21" spans="24:29">
      <c r="X21" s="4" t="s">
        <v>105</v>
      </c>
      <c r="Y21" s="4" t="s">
        <v>127</v>
      </c>
    </row>
    <row r="22" spans="24:29">
      <c r="X22" s="9">
        <v>46291</v>
      </c>
      <c r="Y22" t="str">
        <f>IF(WEEKDAY(X22,2)&gt;5,"Weekend","Weekday")</f>
        <v>Weekend</v>
      </c>
    </row>
    <row r="25" spans="24:29">
      <c r="X25" s="4" t="s">
        <v>110</v>
      </c>
      <c r="Y25" s="4" t="s">
        <v>111</v>
      </c>
      <c r="Z25" s="4" t="s">
        <v>112</v>
      </c>
      <c r="AA25" s="4" t="s">
        <v>128</v>
      </c>
    </row>
    <row r="26" spans="24:29">
      <c r="X26" s="15">
        <v>2027</v>
      </c>
      <c r="Y26">
        <v>3</v>
      </c>
      <c r="Z26">
        <v>8</v>
      </c>
      <c r="AA26" s="9">
        <f>DATE(X26,Y26,Z26)</f>
        <v>46454</v>
      </c>
    </row>
    <row r="29" spans="24:29">
      <c r="X29" s="4" t="s">
        <v>105</v>
      </c>
      <c r="Y29" s="4" t="s">
        <v>129</v>
      </c>
      <c r="Z29" s="4" t="s">
        <v>130</v>
      </c>
      <c r="AA29" s="4" t="s">
        <v>131</v>
      </c>
      <c r="AB29" s="4" t="s">
        <v>132</v>
      </c>
      <c r="AC29" s="4" t="s">
        <v>133</v>
      </c>
    </row>
    <row r="30" spans="24:29">
      <c r="X30" s="9">
        <v>46706</v>
      </c>
      <c r="Y30">
        <f>MONTH(X30)</f>
        <v>11</v>
      </c>
      <c r="Z30">
        <f>ROUNDUP(Y30/3,0)</f>
        <v>4</v>
      </c>
      <c r="AA30" t="str">
        <f>"Q"&amp;Z30</f>
        <v>Q4</v>
      </c>
      <c r="AB30" t="str">
        <f>AA30&amp;" "&amp;YEAR(X30)</f>
        <v>Q4 2027</v>
      </c>
      <c r="AC30" t="str">
        <f>"Q"&amp;ROUNDUP(MONTH(X30)/3,0) &amp;" "&amp;YEAR(X30)</f>
        <v>Q4 2027</v>
      </c>
    </row>
    <row r="33" spans="24:28">
      <c r="X33" s="4" t="s">
        <v>107</v>
      </c>
      <c r="Y33" s="4" t="s">
        <v>108</v>
      </c>
      <c r="Z33" s="4" t="s">
        <v>124</v>
      </c>
      <c r="AB33" s="4" t="s">
        <v>134</v>
      </c>
    </row>
    <row r="34" spans="24:28">
      <c r="X34" s="9">
        <v>46266</v>
      </c>
      <c r="Y34" s="9">
        <v>46295</v>
      </c>
      <c r="Z34">
        <f>NETWORKDAYS.INTL(X34,Y34,"0000101" )</f>
        <v>22</v>
      </c>
      <c r="AB34" s="9">
        <v>46279</v>
      </c>
    </row>
    <row r="37" spans="24:28">
      <c r="X37" s="4" t="s">
        <v>107</v>
      </c>
      <c r="Y37" s="4" t="s">
        <v>124</v>
      </c>
      <c r="Z37" s="4" t="s">
        <v>135</v>
      </c>
      <c r="AB37" s="4" t="s">
        <v>125</v>
      </c>
    </row>
    <row r="38" spans="24:28">
      <c r="X38" s="9">
        <v>46296</v>
      </c>
      <c r="Y38" s="9">
        <v>10</v>
      </c>
      <c r="Z38" s="18">
        <f>WORKDAY.INTL(X38,Y38,11,AB38)</f>
        <v>46309</v>
      </c>
      <c r="AB38" s="9">
        <v>46300</v>
      </c>
    </row>
    <row r="41" spans="24:28">
      <c r="X41" s="4" t="s">
        <v>136</v>
      </c>
      <c r="Y41" s="4" t="s">
        <v>137</v>
      </c>
    </row>
    <row r="42" spans="24:28">
      <c r="X42" s="19">
        <v>0.5</v>
      </c>
      <c r="Y42" s="3">
        <f>X42</f>
        <v>0.5</v>
      </c>
    </row>
    <row r="45" spans="24:28">
      <c r="X45" s="4" t="s">
        <v>138</v>
      </c>
      <c r="Y45" s="4" t="s">
        <v>139</v>
      </c>
      <c r="Z45" s="4" t="s">
        <v>140</v>
      </c>
    </row>
    <row r="46" spans="24:28">
      <c r="X46" s="19">
        <v>0.375</v>
      </c>
      <c r="Y46" s="19">
        <v>0.72916666666666663</v>
      </c>
      <c r="Z46">
        <f>(Y46-X46)*24</f>
        <v>8.5</v>
      </c>
    </row>
    <row r="49" spans="24:27">
      <c r="X49" s="4" t="s">
        <v>138</v>
      </c>
      <c r="Y49" s="4" t="s">
        <v>139</v>
      </c>
      <c r="Z49" s="4" t="s">
        <v>140</v>
      </c>
    </row>
    <row r="50" spans="24:27">
      <c r="X50" s="19">
        <v>0.91666666666666663</v>
      </c>
      <c r="Y50" s="19">
        <v>0.25</v>
      </c>
      <c r="Z50">
        <f>MOD(Y50 - X50,1)*24</f>
        <v>8</v>
      </c>
    </row>
    <row r="53" spans="24:27">
      <c r="X53" s="4" t="s">
        <v>136</v>
      </c>
      <c r="Y53" s="4" t="s">
        <v>141</v>
      </c>
      <c r="Z53" s="4" t="s">
        <v>142</v>
      </c>
      <c r="AA53" s="4" t="s">
        <v>143</v>
      </c>
    </row>
    <row r="54" spans="24:27">
      <c r="X54" s="20">
        <v>0.60812500000000003</v>
      </c>
      <c r="Y54">
        <f>HOUR(X54)</f>
        <v>14</v>
      </c>
      <c r="Z54">
        <f>MINUTE(X54)</f>
        <v>35</v>
      </c>
      <c r="AA54">
        <f>SECOND(X54)</f>
        <v>42</v>
      </c>
    </row>
    <row r="57" spans="24:27">
      <c r="X57" s="4" t="s">
        <v>141</v>
      </c>
      <c r="Y57" s="4" t="s">
        <v>142</v>
      </c>
      <c r="Z57" s="4" t="s">
        <v>143</v>
      </c>
      <c r="AA57" s="4" t="s">
        <v>144</v>
      </c>
    </row>
    <row r="58" spans="24:27">
      <c r="X58">
        <v>9</v>
      </c>
      <c r="Y58">
        <v>15</v>
      </c>
      <c r="Z58">
        <v>45</v>
      </c>
      <c r="AA58" s="19">
        <f>TIME(X58,Y58,Z58)</f>
        <v>0.38593749999999999</v>
      </c>
    </row>
    <row r="61" spans="24:27">
      <c r="X61" s="4" t="s">
        <v>140</v>
      </c>
    </row>
    <row r="62" spans="24:27">
      <c r="X62" s="21">
        <v>0.33333333333333331</v>
      </c>
    </row>
    <row r="63" spans="24:27">
      <c r="X63" s="21">
        <v>0.375</v>
      </c>
    </row>
    <row r="64" spans="24:27">
      <c r="X64" s="21">
        <v>0.41666666666666669</v>
      </c>
    </row>
    <row r="65" spans="24:33">
      <c r="X65" s="22">
        <f>SUM(X62:X64)</f>
        <v>1.125</v>
      </c>
    </row>
    <row r="68" spans="24:33">
      <c r="X68" s="4" t="s">
        <v>145</v>
      </c>
      <c r="Y68" s="4" t="s">
        <v>146</v>
      </c>
      <c r="Z68" s="4" t="s">
        <v>147</v>
      </c>
      <c r="AA68" s="4" t="s">
        <v>148</v>
      </c>
      <c r="AC68" s="4" t="s">
        <v>149</v>
      </c>
      <c r="AD68" s="4" t="s">
        <v>150</v>
      </c>
      <c r="AE68" s="4" t="s">
        <v>151</v>
      </c>
      <c r="AF68" s="4" t="s">
        <v>152</v>
      </c>
      <c r="AG68" s="4" t="s">
        <v>153</v>
      </c>
    </row>
    <row r="69" spans="24:33">
      <c r="X69" s="21">
        <v>0.25</v>
      </c>
      <c r="Y69">
        <f>X69*24</f>
        <v>6</v>
      </c>
      <c r="Z69" s="23">
        <v>15</v>
      </c>
      <c r="AA69" s="24">
        <f>Y69*Z69</f>
        <v>90</v>
      </c>
      <c r="AC69">
        <f>IF(Y69&gt;8,Y69-8,0)</f>
        <v>0</v>
      </c>
      <c r="AD69">
        <f>AC69*Z69*1.5</f>
        <v>0</v>
      </c>
      <c r="AE69">
        <f>MIN(Y69,8)</f>
        <v>6</v>
      </c>
      <c r="AF69">
        <f>(AE69*Z69)</f>
        <v>90</v>
      </c>
      <c r="AG69">
        <f>SUM(AF69,AD69)</f>
        <v>90</v>
      </c>
    </row>
    <row r="72" spans="24:33">
      <c r="X72" s="4" t="s">
        <v>105</v>
      </c>
      <c r="Y72" s="4" t="s">
        <v>136</v>
      </c>
      <c r="Z72" s="4" t="s">
        <v>154</v>
      </c>
    </row>
    <row r="73" spans="24:33">
      <c r="X73" s="9">
        <v>46293</v>
      </c>
      <c r="Y73" s="21">
        <v>0.60416666666666663</v>
      </c>
      <c r="Z73" s="13">
        <f>X73+Y73</f>
        <v>46293.604166666664</v>
      </c>
    </row>
    <row r="76" spans="24:33">
      <c r="X76" s="4" t="s">
        <v>155</v>
      </c>
      <c r="Y76" s="4" t="s">
        <v>156</v>
      </c>
      <c r="Z76" s="4" t="s">
        <v>157</v>
      </c>
    </row>
    <row r="77" spans="24:33">
      <c r="X77" s="13">
        <v>46293.916666666664</v>
      </c>
      <c r="Y77" s="13">
        <v>46295.416666666664</v>
      </c>
      <c r="Z77">
        <f>(Y77-X77)*24</f>
        <v>36</v>
      </c>
    </row>
    <row r="80" spans="24:33">
      <c r="X80" s="4" t="s">
        <v>158</v>
      </c>
      <c r="Y80" s="4" t="s">
        <v>159</v>
      </c>
      <c r="Z80" s="4" t="s">
        <v>160</v>
      </c>
    </row>
    <row r="81" spans="24:28">
      <c r="X81" s="13">
        <v>46746.78125</v>
      </c>
      <c r="Y81" s="9">
        <f>INT(X81)</f>
        <v>46746</v>
      </c>
      <c r="Z81" s="25">
        <f>X81-INT(X81)</f>
        <v>0.78125</v>
      </c>
    </row>
    <row r="84" spans="24:28">
      <c r="X84" s="4" t="s">
        <v>89</v>
      </c>
      <c r="Y84" s="4" t="s">
        <v>155</v>
      </c>
      <c r="Z84" s="4" t="s">
        <v>156</v>
      </c>
      <c r="AA84" s="4" t="s">
        <v>140</v>
      </c>
      <c r="AB84" s="4" t="s">
        <v>149</v>
      </c>
    </row>
    <row r="85" spans="24:28">
      <c r="X85" t="s">
        <v>19</v>
      </c>
      <c r="Y85" s="13">
        <v>46293.854166666664</v>
      </c>
      <c r="Z85" s="13">
        <v>46294.145833333336</v>
      </c>
      <c r="AA85">
        <f>(Z85-Y85)*24</f>
        <v>7.0000000001164153</v>
      </c>
      <c r="AB85">
        <f>IF(AA85&gt;8, AA85-8,0)</f>
        <v>0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59163-E7C1-486A-A805-5FFFB759CE3D}">
  <sheetPr>
    <tabColor theme="3"/>
  </sheetPr>
  <dimension ref="A1:BV3"/>
  <sheetViews>
    <sheetView topLeftCell="BQ1" zoomScale="156" zoomScaleNormal="156" workbookViewId="0">
      <selection activeCell="BT6" sqref="BT6"/>
    </sheetView>
  </sheetViews>
  <sheetFormatPr defaultRowHeight="14.4"/>
  <cols>
    <col min="1" max="1" width="14.109375" customWidth="1"/>
    <col min="2" max="2" width="14.21875" customWidth="1"/>
    <col min="4" max="4" width="16.6640625" customWidth="1"/>
    <col min="5" max="5" width="17" customWidth="1"/>
    <col min="6" max="6" width="15.21875" customWidth="1"/>
    <col min="8" max="8" width="16.44140625" customWidth="1"/>
    <col min="9" max="9" width="18.6640625" customWidth="1"/>
    <col min="10" max="10" width="16.109375" customWidth="1"/>
    <col min="12" max="12" width="20.109375" customWidth="1"/>
    <col min="13" max="13" width="18.109375" customWidth="1"/>
    <col min="14" max="14" width="21.109375" customWidth="1"/>
    <col min="16" max="16" width="17.88671875" customWidth="1"/>
    <col min="17" max="17" width="17.109375" customWidth="1"/>
    <col min="18" max="18" width="15.5546875" customWidth="1"/>
    <col min="20" max="20" width="19.5546875" customWidth="1"/>
    <col min="21" max="21" width="19.33203125" customWidth="1"/>
    <col min="22" max="22" width="18.33203125" customWidth="1"/>
    <col min="24" max="24" width="16.44140625" customWidth="1"/>
    <col min="25" max="25" width="17.109375" customWidth="1"/>
    <col min="26" max="26" width="17.77734375" customWidth="1"/>
    <col min="27" max="27" width="16.77734375" customWidth="1"/>
    <col min="29" max="29" width="22.109375" customWidth="1"/>
    <col min="30" max="30" width="23.88671875" customWidth="1"/>
    <col min="31" max="31" width="18.5546875" customWidth="1"/>
    <col min="33" max="33" width="22.77734375" customWidth="1"/>
    <col min="34" max="34" width="13.5546875" customWidth="1"/>
    <col min="35" max="35" width="15.88671875" customWidth="1"/>
    <col min="37" max="37" width="13.109375" customWidth="1"/>
    <col min="38" max="38" width="16.109375" customWidth="1"/>
    <col min="39" max="39" width="16" customWidth="1"/>
    <col min="41" max="41" width="18.33203125" customWidth="1"/>
    <col min="42" max="42" width="18.6640625" customWidth="1"/>
    <col min="44" max="44" width="15.21875" customWidth="1"/>
    <col min="45" max="45" width="17" customWidth="1"/>
    <col min="47" max="47" width="20.77734375" customWidth="1"/>
    <col min="48" max="48" width="19.21875" customWidth="1"/>
    <col min="50" max="50" width="21.5546875" customWidth="1"/>
    <col min="53" max="53" width="19.109375" customWidth="1"/>
    <col min="56" max="56" width="20.21875" customWidth="1"/>
    <col min="57" max="57" width="14.6640625" customWidth="1"/>
    <col min="59" max="59" width="19" customWidth="1"/>
    <col min="60" max="60" width="16.33203125" customWidth="1"/>
    <col min="62" max="62" width="18.5546875" customWidth="1"/>
    <col min="63" max="63" width="16.33203125" customWidth="1"/>
    <col min="64" max="64" width="20.109375" customWidth="1"/>
    <col min="65" max="65" width="18.21875" customWidth="1"/>
    <col min="67" max="67" width="20.88671875" customWidth="1"/>
    <col min="68" max="68" width="17.77734375" customWidth="1"/>
    <col min="69" max="69" width="16.88671875" customWidth="1"/>
    <col min="71" max="71" width="21" customWidth="1"/>
    <col min="72" max="72" width="18.44140625" customWidth="1"/>
    <col min="73" max="73" width="18.6640625" customWidth="1"/>
    <col min="74" max="74" width="18.21875" customWidth="1"/>
  </cols>
  <sheetData>
    <row r="1" spans="1:74">
      <c r="A1" s="4" t="s">
        <v>2</v>
      </c>
      <c r="B1" s="4" t="s">
        <v>161</v>
      </c>
      <c r="D1" s="4" t="s">
        <v>2</v>
      </c>
      <c r="E1" s="4" t="s">
        <v>162</v>
      </c>
      <c r="F1" s="4" t="s">
        <v>161</v>
      </c>
      <c r="H1" s="4" t="s">
        <v>2</v>
      </c>
      <c r="I1" s="4" t="s">
        <v>162</v>
      </c>
      <c r="J1" s="4" t="s">
        <v>163</v>
      </c>
      <c r="L1" s="4" t="s">
        <v>2</v>
      </c>
      <c r="M1" s="4" t="s">
        <v>162</v>
      </c>
      <c r="N1" s="4" t="s">
        <v>164</v>
      </c>
      <c r="P1" s="4" t="s">
        <v>162</v>
      </c>
      <c r="Q1" s="4" t="s">
        <v>165</v>
      </c>
      <c r="R1" s="4" t="s">
        <v>161</v>
      </c>
      <c r="T1" s="4" t="s">
        <v>162</v>
      </c>
      <c r="U1" s="4" t="s">
        <v>165</v>
      </c>
      <c r="V1" s="4" t="s">
        <v>163</v>
      </c>
      <c r="X1" s="4" t="s">
        <v>2</v>
      </c>
      <c r="Y1" s="4" t="s">
        <v>162</v>
      </c>
      <c r="Z1" s="4" t="s">
        <v>165</v>
      </c>
      <c r="AA1" s="4" t="s">
        <v>161</v>
      </c>
      <c r="AC1" s="4" t="s">
        <v>166</v>
      </c>
      <c r="AD1" s="4" t="s">
        <v>167</v>
      </c>
      <c r="AE1" s="4" t="s">
        <v>161</v>
      </c>
      <c r="AG1" s="4" t="s">
        <v>166</v>
      </c>
      <c r="AH1" s="4" t="s">
        <v>167</v>
      </c>
      <c r="AI1" s="4" t="s">
        <v>163</v>
      </c>
      <c r="AK1" s="4" t="s">
        <v>2</v>
      </c>
      <c r="AL1" s="4" t="s">
        <v>162</v>
      </c>
      <c r="AM1" s="4" t="s">
        <v>164</v>
      </c>
      <c r="AO1" s="4" t="s">
        <v>168</v>
      </c>
      <c r="AP1" s="4" t="s">
        <v>163</v>
      </c>
      <c r="AR1" s="4" t="s">
        <v>170</v>
      </c>
      <c r="AS1" s="4" t="s">
        <v>163</v>
      </c>
      <c r="AU1" s="4" t="s">
        <v>172</v>
      </c>
      <c r="AV1" s="4" t="s">
        <v>163</v>
      </c>
      <c r="AX1" s="4" t="s">
        <v>173</v>
      </c>
      <c r="AY1" s="4" t="s">
        <v>174</v>
      </c>
      <c r="BA1" s="4" t="s">
        <v>173</v>
      </c>
      <c r="BB1" s="4" t="s">
        <v>174</v>
      </c>
      <c r="BD1" s="4" t="s">
        <v>172</v>
      </c>
      <c r="BE1" s="4" t="s">
        <v>163</v>
      </c>
      <c r="BG1" s="4" t="s">
        <v>172</v>
      </c>
      <c r="BH1" s="4" t="s">
        <v>161</v>
      </c>
      <c r="BJ1" s="4" t="s">
        <v>166</v>
      </c>
      <c r="BK1" s="4" t="s">
        <v>167</v>
      </c>
      <c r="BL1" s="4" t="s">
        <v>162</v>
      </c>
      <c r="BM1" s="4" t="s">
        <v>161</v>
      </c>
      <c r="BO1" s="4" t="s">
        <v>172</v>
      </c>
      <c r="BP1" s="4" t="s">
        <v>162</v>
      </c>
      <c r="BQ1" s="4" t="s">
        <v>164</v>
      </c>
      <c r="BS1" s="4" t="s">
        <v>172</v>
      </c>
      <c r="BT1" s="4" t="s">
        <v>162</v>
      </c>
      <c r="BU1" s="4" t="s">
        <v>165</v>
      </c>
      <c r="BV1" s="4" t="s">
        <v>163</v>
      </c>
    </row>
    <row r="2" spans="1:74">
      <c r="A2" t="s">
        <v>23</v>
      </c>
      <c r="B2" s="24">
        <f>SUMIFS(Cleaned_Employees[Salary], Cleaned_Employees[Department],A2)</f>
        <v>185000</v>
      </c>
      <c r="D2" t="s">
        <v>21</v>
      </c>
      <c r="E2" s="24">
        <v>44000</v>
      </c>
      <c r="F2" s="24">
        <f>SUMIFS(Cleaned_Employees[Salary],Cleaned_Employees[Department],D2,Cleaned_Employees[Salary],"&gt;"&amp;E2)</f>
        <v>45000</v>
      </c>
      <c r="H2" t="s">
        <v>23</v>
      </c>
      <c r="I2">
        <v>40000</v>
      </c>
      <c r="J2">
        <f>COUNTIFS(Cleaned_Employees[Department],H2,Cleaned_Employees[Salary],"&gt;"&amp;I2)</f>
        <v>3</v>
      </c>
      <c r="L2" t="s">
        <v>21</v>
      </c>
      <c r="M2">
        <v>35000</v>
      </c>
      <c r="N2" s="24">
        <f>AVERAGEIFS(Cleaned_Employees[Salary],Cleaned_Employees[Department],L2,Cleaned_Employees[Salary],"&gt;"&amp;M2)</f>
        <v>41333.333333333336</v>
      </c>
      <c r="P2">
        <v>35000</v>
      </c>
      <c r="Q2">
        <v>50000</v>
      </c>
      <c r="R2" s="24">
        <f>SUMIFS(Cleaned_Employees[Salary],Cleaned_Employees[Salary],"&gt;="&amp;P2,Cleaned_Employees[Salary],"&lt;="&amp;Q2)</f>
        <v>336000</v>
      </c>
      <c r="T2">
        <v>30000</v>
      </c>
      <c r="U2">
        <v>40000</v>
      </c>
      <c r="V2">
        <f>COUNTIFS(Cleaned_Employees[Salary],"&gt;="&amp;T2,Cleaned_Employees[Salary],"&lt;="&amp;U2)</f>
        <v>6</v>
      </c>
      <c r="X2" t="s">
        <v>21</v>
      </c>
      <c r="Y2" s="24">
        <v>30000</v>
      </c>
      <c r="Z2" s="24">
        <v>45000</v>
      </c>
      <c r="AA2" s="24">
        <f>SUMIFS(Cleaned_Employees[Salary],Cleaned_Employees[Department],X2,Cleaned_Employees[Salary],"&gt;="&amp;Y2,Cleaned_Employees[Salary],"&lt;="&amp;Z2)</f>
        <v>188000</v>
      </c>
      <c r="AC2" t="s">
        <v>15</v>
      </c>
      <c r="AD2" t="s">
        <v>23</v>
      </c>
      <c r="AE2" s="24">
        <f>SUMIFS(Cleaned_Employees[Salary],Cleaned_Employees[Department],AC2)+SUMIFS(Cleaned_Employees[Salary],Cleaned_Employees[Department],AD2)</f>
        <v>296000</v>
      </c>
      <c r="AG2" t="s">
        <v>21</v>
      </c>
      <c r="AH2" t="s">
        <v>15</v>
      </c>
      <c r="AI2">
        <f>COUNTIFS(Cleaned_Employees[Department],AG2)  + COUNTIFS(Cleaned_Employees[Department],AH2)</f>
        <v>9</v>
      </c>
      <c r="AK2" t="s">
        <v>23</v>
      </c>
      <c r="AL2">
        <v>40000</v>
      </c>
      <c r="AM2" s="24">
        <f>AVERAGEIFS(Cleaned_Employees[Salary],Cleaned_Employees[Department],AK2,Cleaned_Employees[Salary],"&gt;="&amp;AL2)</f>
        <v>48666.666666666664</v>
      </c>
      <c r="AO2" t="s">
        <v>169</v>
      </c>
      <c r="AP2">
        <f>COUNTIFS(Cleaned_Employees[Name],AO2&amp;"*")</f>
        <v>2</v>
      </c>
      <c r="AR2" t="s">
        <v>171</v>
      </c>
      <c r="AS2">
        <f>COUNTIFS(Cleaned_Employees[Name],"*"&amp;AR2&amp;"*")</f>
        <v>2</v>
      </c>
      <c r="AU2" t="s">
        <v>21</v>
      </c>
      <c r="AV2">
        <f>COUNTIFS(Cleaned_Employees[Department],"&lt;&gt;"&amp;AU2)</f>
        <v>8</v>
      </c>
      <c r="AX2" t="s">
        <v>64</v>
      </c>
      <c r="AY2">
        <f>COUNTIFS(Cleaned_Employees[Salary],"")</f>
        <v>1</v>
      </c>
      <c r="BA2" t="s">
        <v>175</v>
      </c>
      <c r="BB2">
        <f>COUNTIFS(Cleaned_Employees[Salary],"&lt;&gt;")</f>
        <v>12</v>
      </c>
      <c r="BD2" t="s">
        <v>21</v>
      </c>
      <c r="BE2">
        <f>COUNTIFS(Cleaned_Employees[Department],"&lt;&gt;"&amp;BD2,Cleaned_Employees[Salary],"&lt;&gt;")</f>
        <v>7</v>
      </c>
      <c r="BG2" t="s">
        <v>21</v>
      </c>
      <c r="BH2" s="24">
        <f>SUMIFS(Cleaned_Employees[Salary],Cleaned_Employees[Department],"&lt;&gt;"&amp;BG2)</f>
        <v>296000</v>
      </c>
      <c r="BJ2" t="s">
        <v>15</v>
      </c>
      <c r="BK2" t="s">
        <v>23</v>
      </c>
      <c r="BL2">
        <v>40000</v>
      </c>
      <c r="BM2" s="24">
        <f>SUMIFS(Cleaned_Employees[Salary],Cleaned_Employees[Department],BJ2,Cleaned_Employees[Salary],"&gt;="&amp;BL2)+SUMIFS(Cleaned_Employees[Salary],Cleaned_Employees[Department],BK2,Cleaned_Employees[Salary],"&gt;="&amp;BL2)</f>
        <v>189000</v>
      </c>
      <c r="BO2" t="s">
        <v>21</v>
      </c>
      <c r="BP2">
        <v>35000</v>
      </c>
      <c r="BQ2" s="24">
        <f>AVERAGEIFS(Cleaned_Employees[Salary],Cleaned_Employees[Department],"&lt;&gt;"&amp;BO2,Cleaned_Employees[Salary],"&gt;="&amp;BP2)</f>
        <v>44000</v>
      </c>
      <c r="BS2" t="s">
        <v>21</v>
      </c>
      <c r="BT2">
        <v>35000</v>
      </c>
      <c r="BU2">
        <v>50000</v>
      </c>
      <c r="BV2">
        <f>COUNTIFS(Cleaned_Employees[Department],"&lt;&gt;"&amp;BS2,Cleaned_Employees[Salary],"&gt;="&amp;BT2,Cleaned_Employees[Salary],"&lt;="&amp;BU2)</f>
        <v>5</v>
      </c>
    </row>
    <row r="3" spans="1:74">
      <c r="E3" s="24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9CA06-7FE4-46FD-924B-2C0A9C6511BB}">
  <sheetPr>
    <tabColor rgb="FFFFFF00"/>
  </sheetPr>
  <dimension ref="A1:N11"/>
  <sheetViews>
    <sheetView topLeftCell="H1" zoomScale="158" zoomScaleNormal="158" workbookViewId="0">
      <selection activeCell="P5" sqref="P5"/>
    </sheetView>
  </sheetViews>
  <sheetFormatPr defaultRowHeight="14.4"/>
  <cols>
    <col min="1" max="1" width="17.109375" customWidth="1"/>
    <col min="3" max="3" width="25.6640625" customWidth="1"/>
    <col min="5" max="5" width="28.88671875" customWidth="1"/>
    <col min="7" max="7" width="16.109375" customWidth="1"/>
    <col min="10" max="10" width="20.6640625" customWidth="1"/>
    <col min="12" max="12" width="19.77734375" customWidth="1"/>
  </cols>
  <sheetData>
    <row r="1" spans="1:14" ht="21.6" customHeight="1">
      <c r="A1" s="4" t="s">
        <v>162</v>
      </c>
      <c r="C1" s="4" t="s">
        <v>176</v>
      </c>
      <c r="E1" s="4" t="s">
        <v>177</v>
      </c>
      <c r="G1">
        <f>Maximum_Salary</f>
        <v>45000</v>
      </c>
      <c r="J1" s="4" t="s">
        <v>178</v>
      </c>
      <c r="L1" s="4" t="s">
        <v>179</v>
      </c>
      <c r="N1" t="str" cm="1">
        <f t="array" ref="N1:N3">Department_List</f>
        <v>Finance</v>
      </c>
    </row>
    <row r="2" spans="1:14">
      <c r="A2">
        <v>35000</v>
      </c>
      <c r="C2">
        <f>COUNTIFS(Cleaned_Employees[Salary],"&gt;="&amp;Minimum_Salary)</f>
        <v>9</v>
      </c>
      <c r="E2">
        <f>COUNTIFS(Cleaned_Employees[Salary],"&gt;="&amp;Minimum_Salary,Cleaned_Employees[Salary],"&lt;="&amp;Maximum_Salary)</f>
        <v>6</v>
      </c>
      <c r="J2" t="s">
        <v>15</v>
      </c>
      <c r="L2" t="s">
        <v>15</v>
      </c>
      <c r="N2" t="str">
        <v>HR</v>
      </c>
    </row>
    <row r="3" spans="1:14">
      <c r="J3" t="s">
        <v>23</v>
      </c>
      <c r="N3" t="str">
        <v>IT</v>
      </c>
    </row>
    <row r="4" spans="1:14">
      <c r="A4" s="4" t="s">
        <v>165</v>
      </c>
      <c r="J4" t="s">
        <v>21</v>
      </c>
      <c r="L4" t="s">
        <v>161</v>
      </c>
    </row>
    <row r="5" spans="1:14">
      <c r="A5" s="16">
        <v>45000</v>
      </c>
      <c r="L5" s="24">
        <f>SUMIFS(Cleaned_Employees[Salary],Cleaned_Employees[Department],L2)</f>
        <v>111000</v>
      </c>
      <c r="N5" t="s">
        <v>3</v>
      </c>
    </row>
    <row r="6" spans="1:14">
      <c r="A6" s="4"/>
      <c r="N6">
        <v>55000</v>
      </c>
    </row>
    <row r="7" spans="1:14">
      <c r="L7" t="s">
        <v>163</v>
      </c>
    </row>
    <row r="8" spans="1:14">
      <c r="L8">
        <f>COUNTIFS(Cleaned_Employees[Department],L2)</f>
        <v>4</v>
      </c>
    </row>
    <row r="10" spans="1:14">
      <c r="L10" t="s">
        <v>164</v>
      </c>
    </row>
    <row r="11" spans="1:14">
      <c r="L11" s="24">
        <f>AVERAGEIFS(Cleaned_Employees[Salary],Cleaned_Employees[Department],L2)</f>
        <v>37000</v>
      </c>
    </row>
  </sheetData>
  <dataValidations count="1">
    <dataValidation type="list" allowBlank="1" showInputMessage="1" showErrorMessage="1" sqref="L2" xr:uid="{BD88F97E-3BFC-4863-9A3B-F9E6E4C8A0A7}">
      <formula1>Department_List</formula1>
    </dataValidation>
  </dataValidation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AC80A-356A-451C-9AB9-C8106917C425}">
  <sheetPr>
    <tabColor rgb="FF00B0F0"/>
    <outlinePr summaryBelow="0"/>
  </sheetPr>
  <dimension ref="B1:G11"/>
  <sheetViews>
    <sheetView showGridLines="0" workbookViewId="0">
      <selection activeCell="J13" sqref="J13"/>
    </sheetView>
  </sheetViews>
  <sheetFormatPr defaultRowHeight="14.4" outlineLevelRow="1" outlineLevelCol="1"/>
  <cols>
    <col min="3" max="3" width="5.109375" bestFit="1" customWidth="1"/>
    <col min="4" max="7" width="14.88671875" bestFit="1" customWidth="1" outlineLevel="1"/>
  </cols>
  <sheetData>
    <row r="1" spans="2:7" ht="15" thickBot="1"/>
    <row r="2" spans="2:7" ht="15.6">
      <c r="B2" s="32" t="s">
        <v>189</v>
      </c>
      <c r="C2" s="32"/>
      <c r="D2" s="37"/>
      <c r="E2" s="37"/>
      <c r="F2" s="37"/>
      <c r="G2" s="37"/>
    </row>
    <row r="3" spans="2:7" ht="15.6" collapsed="1">
      <c r="B3" s="31"/>
      <c r="C3" s="31"/>
      <c r="D3" s="38" t="s">
        <v>191</v>
      </c>
      <c r="E3" s="38" t="s">
        <v>185</v>
      </c>
      <c r="F3" s="38" t="s">
        <v>187</v>
      </c>
      <c r="G3" s="38" t="s">
        <v>188</v>
      </c>
    </row>
    <row r="4" spans="2:7" ht="20.399999999999999" hidden="1" outlineLevel="1">
      <c r="B4" s="34"/>
      <c r="C4" s="34"/>
      <c r="D4" s="28"/>
      <c r="E4" s="40" t="s">
        <v>186</v>
      </c>
      <c r="F4" s="40" t="s">
        <v>186</v>
      </c>
      <c r="G4" s="40" t="s">
        <v>186</v>
      </c>
    </row>
    <row r="5" spans="2:7">
      <c r="B5" s="35" t="s">
        <v>190</v>
      </c>
      <c r="C5" s="35"/>
      <c r="D5" s="33"/>
      <c r="E5" s="33"/>
      <c r="F5" s="33"/>
      <c r="G5" s="33"/>
    </row>
    <row r="6" spans="2:7" outlineLevel="1">
      <c r="B6" s="34"/>
      <c r="C6" s="34" t="s">
        <v>183</v>
      </c>
      <c r="D6" s="29">
        <v>0.1</v>
      </c>
      <c r="E6" s="39">
        <v>0.02</v>
      </c>
      <c r="F6" s="39">
        <v>0.05</v>
      </c>
      <c r="G6" s="39">
        <v>0.1</v>
      </c>
    </row>
    <row r="7" spans="2:7">
      <c r="B7" s="35" t="s">
        <v>192</v>
      </c>
      <c r="C7" s="35"/>
      <c r="D7" s="33"/>
      <c r="E7" s="33"/>
      <c r="F7" s="33"/>
      <c r="G7" s="33"/>
    </row>
    <row r="8" spans="2:7" ht="15" outlineLevel="1" thickBot="1">
      <c r="B8" s="36"/>
      <c r="C8" s="36" t="s">
        <v>184</v>
      </c>
      <c r="D8" s="30">
        <v>44000</v>
      </c>
      <c r="E8" s="30">
        <v>40800</v>
      </c>
      <c r="F8" s="30">
        <v>42000</v>
      </c>
      <c r="G8" s="30">
        <v>44000</v>
      </c>
    </row>
    <row r="9" spans="2:7">
      <c r="B9" t="s">
        <v>193</v>
      </c>
    </row>
    <row r="10" spans="2:7">
      <c r="B10" t="s">
        <v>194</v>
      </c>
    </row>
    <row r="11" spans="2:7">
      <c r="B11" t="s">
        <v>195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81ABC-591E-4E2F-B45B-CEE5040223F5}">
  <sheetPr>
    <tabColor rgb="FFFF0000"/>
  </sheetPr>
  <dimension ref="A1:M7"/>
  <sheetViews>
    <sheetView zoomScale="153" zoomScaleNormal="153" workbookViewId="0">
      <selection activeCell="I9" sqref="I9"/>
    </sheetView>
  </sheetViews>
  <sheetFormatPr defaultRowHeight="14.4"/>
  <cols>
    <col min="1" max="1" width="13.88671875" customWidth="1"/>
    <col min="4" max="4" width="10.44140625" customWidth="1"/>
    <col min="8" max="8" width="10.6640625" customWidth="1"/>
    <col min="9" max="9" width="11.109375" customWidth="1"/>
    <col min="10" max="10" width="10.88671875" customWidth="1"/>
  </cols>
  <sheetData>
    <row r="1" spans="1:13">
      <c r="A1" s="16" t="s">
        <v>180</v>
      </c>
      <c r="B1">
        <v>40000</v>
      </c>
      <c r="D1" s="2" t="s">
        <v>181</v>
      </c>
      <c r="E1">
        <f>B3</f>
        <v>44000</v>
      </c>
      <c r="G1">
        <f>B3</f>
        <v>44000</v>
      </c>
      <c r="H1" s="26">
        <v>0</v>
      </c>
      <c r="I1" s="26">
        <v>0.05</v>
      </c>
      <c r="J1" s="26">
        <v>0.1</v>
      </c>
      <c r="K1" s="26">
        <v>0.15</v>
      </c>
      <c r="L1" s="26">
        <v>0.2</v>
      </c>
      <c r="M1" s="26">
        <v>0.25</v>
      </c>
    </row>
    <row r="2" spans="1:13">
      <c r="A2" t="s">
        <v>181</v>
      </c>
      <c r="B2" s="27">
        <v>0.1</v>
      </c>
      <c r="D2" s="27">
        <v>0</v>
      </c>
      <c r="E2">
        <f t="dataTable" ref="E2:E7" dt2D="0" dtr="0" r1="B2" ca="1"/>
        <v>40000</v>
      </c>
      <c r="G2" s="8">
        <v>30000</v>
      </c>
      <c r="H2" s="41">
        <f t="dataTable" ref="H2:M6" dt2D="1" dtr="1" r1="B2" r2="B1"/>
        <v>30000</v>
      </c>
      <c r="I2" s="41">
        <v>31500</v>
      </c>
      <c r="J2" s="41">
        <v>33000</v>
      </c>
      <c r="K2">
        <v>34500</v>
      </c>
      <c r="L2">
        <v>36000</v>
      </c>
      <c r="M2">
        <v>37500</v>
      </c>
    </row>
    <row r="3" spans="1:13">
      <c r="A3" t="s">
        <v>182</v>
      </c>
      <c r="B3">
        <f>B1*(1+B2)</f>
        <v>44000</v>
      </c>
      <c r="D3" s="27">
        <v>0.05</v>
      </c>
      <c r="E3">
        <v>42000</v>
      </c>
      <c r="G3" s="8">
        <v>35000</v>
      </c>
      <c r="H3" s="8">
        <v>35000</v>
      </c>
      <c r="I3">
        <v>36750</v>
      </c>
      <c r="J3">
        <v>38500</v>
      </c>
      <c r="K3">
        <v>40250</v>
      </c>
      <c r="L3">
        <v>42000</v>
      </c>
      <c r="M3">
        <v>43750</v>
      </c>
    </row>
    <row r="4" spans="1:13">
      <c r="D4" s="27">
        <v>0.1</v>
      </c>
      <c r="E4">
        <v>44000</v>
      </c>
      <c r="G4" s="8">
        <v>40000</v>
      </c>
      <c r="H4" s="8">
        <v>40000</v>
      </c>
      <c r="I4">
        <v>42000</v>
      </c>
      <c r="J4">
        <v>44000</v>
      </c>
      <c r="K4">
        <v>46000</v>
      </c>
      <c r="L4">
        <v>48000</v>
      </c>
      <c r="M4">
        <v>50000</v>
      </c>
    </row>
    <row r="5" spans="1:13">
      <c r="D5" s="27">
        <v>0.15</v>
      </c>
      <c r="E5">
        <v>46000</v>
      </c>
      <c r="G5" s="8">
        <v>45000</v>
      </c>
      <c r="H5" s="8">
        <v>45000</v>
      </c>
      <c r="I5">
        <v>47250</v>
      </c>
      <c r="J5">
        <v>49500.000000000007</v>
      </c>
      <c r="K5">
        <v>51749.999999999993</v>
      </c>
      <c r="L5">
        <v>54000</v>
      </c>
      <c r="M5">
        <v>56250</v>
      </c>
    </row>
    <row r="6" spans="1:13">
      <c r="D6" s="27">
        <v>0.2</v>
      </c>
      <c r="E6">
        <v>48000</v>
      </c>
      <c r="G6" s="8">
        <v>50000</v>
      </c>
      <c r="H6" s="8">
        <v>50000</v>
      </c>
      <c r="I6">
        <v>52500</v>
      </c>
      <c r="J6">
        <v>55000.000000000007</v>
      </c>
      <c r="K6">
        <v>57499.999999999993</v>
      </c>
      <c r="L6">
        <v>60000</v>
      </c>
      <c r="M6">
        <v>62500</v>
      </c>
    </row>
    <row r="7" spans="1:13">
      <c r="D7" s="27">
        <v>0.25</v>
      </c>
      <c r="E7">
        <v>50000</v>
      </c>
    </row>
  </sheetData>
  <scenarios current="2" show="2" sqref="B3">
    <scenario name="Low Increase" locked="1" count="1" user="Home" comment="Created by Home on 06/10/2026">
      <inputCells r="B2" val="0.02" numFmtId="9"/>
    </scenario>
    <scenario name="Standard Increase" locked="1" count="1" user="Home" comment="Created by Home on 06/10/2026">
      <inputCells r="B2" val="0.05" numFmtId="9"/>
    </scenario>
    <scenario name="High Increase" locked="1" count="1" user="Home" comment="Created by Home on 06/10/2026">
      <inputCells r="B2" val="0.1" numFmtId="9"/>
    </scenario>
  </scenario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4071C-7D32-47E6-A494-B7BAF5453138}">
  <sheetPr>
    <tabColor theme="3" tint="-0.499984740745262"/>
  </sheetPr>
  <dimension ref="A1:E13"/>
  <sheetViews>
    <sheetView zoomScale="144" zoomScaleNormal="144" workbookViewId="0">
      <selection activeCell="G9" sqref="G9"/>
    </sheetView>
  </sheetViews>
  <sheetFormatPr defaultRowHeight="14.4"/>
  <cols>
    <col min="1" max="1" width="13.33203125" bestFit="1" customWidth="1"/>
    <col min="2" max="2" width="9" bestFit="1" customWidth="1"/>
    <col min="3" max="3" width="15.44140625" bestFit="1" customWidth="1"/>
    <col min="4" max="4" width="19.5546875" bestFit="1" customWidth="1"/>
    <col min="5" max="5" width="18.77734375" bestFit="1" customWidth="1"/>
  </cols>
  <sheetData>
    <row r="1" spans="1:5">
      <c r="A1" t="s">
        <v>2</v>
      </c>
      <c r="B1" t="s">
        <v>111</v>
      </c>
      <c r="C1" t="s">
        <v>225</v>
      </c>
      <c r="D1" t="s">
        <v>226</v>
      </c>
      <c r="E1" t="s">
        <v>228</v>
      </c>
    </row>
    <row r="2" spans="1:5">
      <c r="A2" s="3" t="s">
        <v>15</v>
      </c>
      <c r="B2" s="3" t="s">
        <v>221</v>
      </c>
      <c r="C2">
        <v>16000</v>
      </c>
      <c r="D2" t="s">
        <v>97</v>
      </c>
      <c r="E2">
        <v>800</v>
      </c>
    </row>
    <row r="3" spans="1:5">
      <c r="A3" s="3" t="s">
        <v>15</v>
      </c>
      <c r="B3" s="3" t="s">
        <v>222</v>
      </c>
      <c r="C3">
        <v>15000</v>
      </c>
      <c r="D3" t="s">
        <v>97</v>
      </c>
      <c r="E3">
        <v>750</v>
      </c>
    </row>
    <row r="4" spans="1:5">
      <c r="A4" s="3" t="s">
        <v>15</v>
      </c>
      <c r="B4" s="3" t="s">
        <v>223</v>
      </c>
      <c r="C4">
        <v>18000</v>
      </c>
      <c r="D4" t="s">
        <v>97</v>
      </c>
      <c r="E4">
        <v>900</v>
      </c>
    </row>
    <row r="5" spans="1:5">
      <c r="A5" s="3" t="s">
        <v>21</v>
      </c>
      <c r="B5" s="3" t="s">
        <v>221</v>
      </c>
      <c r="C5">
        <v>20000</v>
      </c>
      <c r="D5" t="s">
        <v>227</v>
      </c>
      <c r="E5">
        <v>1000</v>
      </c>
    </row>
    <row r="6" spans="1:5">
      <c r="A6" s="3" t="s">
        <v>21</v>
      </c>
      <c r="B6" s="3" t="s">
        <v>222</v>
      </c>
      <c r="C6">
        <v>22000</v>
      </c>
      <c r="D6" t="s">
        <v>227</v>
      </c>
      <c r="E6">
        <v>1100</v>
      </c>
    </row>
    <row r="7" spans="1:5">
      <c r="A7" s="3" t="s">
        <v>21</v>
      </c>
      <c r="B7" s="3" t="s">
        <v>223</v>
      </c>
      <c r="C7">
        <v>25000</v>
      </c>
      <c r="D7" t="s">
        <v>227</v>
      </c>
      <c r="E7">
        <v>1250</v>
      </c>
    </row>
    <row r="8" spans="1:5">
      <c r="A8" s="3" t="s">
        <v>23</v>
      </c>
      <c r="B8" s="3" t="s">
        <v>221</v>
      </c>
      <c r="C8">
        <v>8000</v>
      </c>
      <c r="D8" t="s">
        <v>96</v>
      </c>
      <c r="E8">
        <v>400</v>
      </c>
    </row>
    <row r="9" spans="1:5">
      <c r="A9" s="3" t="s">
        <v>23</v>
      </c>
      <c r="B9" s="3" t="s">
        <v>222</v>
      </c>
      <c r="C9">
        <v>9000</v>
      </c>
      <c r="D9" t="s">
        <v>96</v>
      </c>
      <c r="E9">
        <v>450</v>
      </c>
    </row>
    <row r="10" spans="1:5">
      <c r="A10" s="3" t="s">
        <v>23</v>
      </c>
      <c r="B10" s="3" t="s">
        <v>223</v>
      </c>
      <c r="C10">
        <v>11000</v>
      </c>
      <c r="D10" t="s">
        <v>96</v>
      </c>
      <c r="E10">
        <v>550</v>
      </c>
    </row>
    <row r="11" spans="1:5">
      <c r="A11" s="3" t="s">
        <v>224</v>
      </c>
      <c r="B11" s="3" t="s">
        <v>221</v>
      </c>
      <c r="C11">
        <v>14000</v>
      </c>
      <c r="D11" t="s">
        <v>97</v>
      </c>
      <c r="E11">
        <v>700</v>
      </c>
    </row>
    <row r="12" spans="1:5">
      <c r="A12" s="3" t="s">
        <v>224</v>
      </c>
      <c r="B12" s="3" t="s">
        <v>222</v>
      </c>
      <c r="C12">
        <v>16000</v>
      </c>
      <c r="D12" t="s">
        <v>97</v>
      </c>
      <c r="E12">
        <v>800</v>
      </c>
    </row>
    <row r="13" spans="1:5">
      <c r="A13" s="3" t="s">
        <v>224</v>
      </c>
      <c r="B13" s="3" t="s">
        <v>223</v>
      </c>
      <c r="C13">
        <v>19000</v>
      </c>
      <c r="D13" t="s">
        <v>97</v>
      </c>
      <c r="E13">
        <v>950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A16ED-4FF8-4954-BAC9-BD672AD56AB9}">
  <dimension ref="A1:D13"/>
  <sheetViews>
    <sheetView workbookViewId="0">
      <selection sqref="A1:D13"/>
    </sheetView>
  </sheetViews>
  <sheetFormatPr defaultRowHeight="14.4"/>
  <cols>
    <col min="1" max="1" width="13.33203125" bestFit="1" customWidth="1"/>
    <col min="2" max="2" width="9" bestFit="1" customWidth="1"/>
    <col min="3" max="3" width="15.44140625" bestFit="1" customWidth="1"/>
    <col min="4" max="4" width="19.5546875" bestFit="1" customWidth="1"/>
  </cols>
  <sheetData>
    <row r="1" spans="1:4">
      <c r="A1" t="s">
        <v>2</v>
      </c>
      <c r="B1" t="s">
        <v>111</v>
      </c>
      <c r="C1" t="s">
        <v>225</v>
      </c>
      <c r="D1" t="s">
        <v>226</v>
      </c>
    </row>
    <row r="2" spans="1:4">
      <c r="A2" s="3" t="s">
        <v>15</v>
      </c>
      <c r="B2" s="3" t="s">
        <v>221</v>
      </c>
      <c r="C2">
        <v>12000</v>
      </c>
      <c r="D2" t="s">
        <v>97</v>
      </c>
    </row>
    <row r="3" spans="1:4">
      <c r="A3" s="3" t="s">
        <v>15</v>
      </c>
      <c r="B3" s="3" t="s">
        <v>222</v>
      </c>
      <c r="C3">
        <v>15000</v>
      </c>
      <c r="D3" t="s">
        <v>97</v>
      </c>
    </row>
    <row r="4" spans="1:4">
      <c r="A4" s="3" t="s">
        <v>15</v>
      </c>
      <c r="B4" s="3" t="s">
        <v>223</v>
      </c>
      <c r="C4">
        <v>18000</v>
      </c>
      <c r="D4" t="s">
        <v>97</v>
      </c>
    </row>
    <row r="5" spans="1:4">
      <c r="A5" s="3" t="s">
        <v>21</v>
      </c>
      <c r="B5" s="3" t="s">
        <v>221</v>
      </c>
      <c r="C5">
        <v>20000</v>
      </c>
      <c r="D5" t="s">
        <v>227</v>
      </c>
    </row>
    <row r="6" spans="1:4">
      <c r="A6" s="3" t="s">
        <v>21</v>
      </c>
      <c r="B6" s="3" t="s">
        <v>222</v>
      </c>
      <c r="C6">
        <v>22000</v>
      </c>
      <c r="D6" t="s">
        <v>227</v>
      </c>
    </row>
    <row r="7" spans="1:4">
      <c r="A7" s="3" t="s">
        <v>21</v>
      </c>
      <c r="B7" s="3" t="s">
        <v>223</v>
      </c>
      <c r="C7">
        <v>25000</v>
      </c>
      <c r="D7" t="s">
        <v>227</v>
      </c>
    </row>
    <row r="8" spans="1:4">
      <c r="A8" s="3" t="s">
        <v>23</v>
      </c>
      <c r="B8" s="3" t="s">
        <v>221</v>
      </c>
      <c r="C8">
        <v>8000</v>
      </c>
      <c r="D8" t="s">
        <v>96</v>
      </c>
    </row>
    <row r="9" spans="1:4">
      <c r="A9" s="3" t="s">
        <v>23</v>
      </c>
      <c r="B9" s="3" t="s">
        <v>222</v>
      </c>
      <c r="C9">
        <v>9000</v>
      </c>
      <c r="D9" t="s">
        <v>96</v>
      </c>
    </row>
    <row r="10" spans="1:4">
      <c r="A10" s="3" t="s">
        <v>23</v>
      </c>
      <c r="B10" s="3" t="s">
        <v>223</v>
      </c>
      <c r="C10">
        <v>11000</v>
      </c>
      <c r="D10" t="s">
        <v>96</v>
      </c>
    </row>
    <row r="11" spans="1:4">
      <c r="A11" s="3" t="s">
        <v>224</v>
      </c>
      <c r="B11" s="3" t="s">
        <v>221</v>
      </c>
      <c r="C11">
        <v>14000</v>
      </c>
      <c r="D11" t="s">
        <v>97</v>
      </c>
    </row>
    <row r="12" spans="1:4">
      <c r="A12" s="3" t="s">
        <v>224</v>
      </c>
      <c r="B12" s="3" t="s">
        <v>222</v>
      </c>
      <c r="C12">
        <v>16000</v>
      </c>
      <c r="D12" t="s">
        <v>97</v>
      </c>
    </row>
    <row r="13" spans="1:4">
      <c r="A13" s="3" t="s">
        <v>224</v>
      </c>
      <c r="B13" s="3" t="s">
        <v>223</v>
      </c>
      <c r="C13">
        <v>19000</v>
      </c>
      <c r="D13" t="s">
        <v>97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33E0E-E251-450D-BDF9-3137849F1536}">
  <dimension ref="A1:D5"/>
  <sheetViews>
    <sheetView zoomScale="181" zoomScaleNormal="181" workbookViewId="0">
      <selection activeCell="B3" sqref="B3"/>
    </sheetView>
  </sheetViews>
  <sheetFormatPr defaultRowHeight="14.4"/>
  <cols>
    <col min="1" max="1" width="13.33203125" bestFit="1" customWidth="1"/>
    <col min="2" max="2" width="9.77734375" bestFit="1" customWidth="1"/>
    <col min="3" max="3" width="10.6640625" bestFit="1" customWidth="1"/>
    <col min="4" max="4" width="8.6640625" bestFit="1" customWidth="1"/>
  </cols>
  <sheetData>
    <row r="1" spans="1:4">
      <c r="A1" t="s">
        <v>2</v>
      </c>
      <c r="B1" t="s">
        <v>221</v>
      </c>
      <c r="C1" t="s">
        <v>222</v>
      </c>
      <c r="D1" t="s">
        <v>223</v>
      </c>
    </row>
    <row r="2" spans="1:4">
      <c r="A2" s="3" t="s">
        <v>15</v>
      </c>
      <c r="B2">
        <v>12000</v>
      </c>
      <c r="C2">
        <v>15000</v>
      </c>
      <c r="D2">
        <v>18000</v>
      </c>
    </row>
    <row r="3" spans="1:4">
      <c r="A3" s="3" t="s">
        <v>23</v>
      </c>
      <c r="B3">
        <v>8000</v>
      </c>
      <c r="C3">
        <v>9000</v>
      </c>
      <c r="D3">
        <v>11000</v>
      </c>
    </row>
    <row r="4" spans="1:4">
      <c r="A4" s="3" t="s">
        <v>21</v>
      </c>
      <c r="B4">
        <v>20000</v>
      </c>
      <c r="C4">
        <v>22000</v>
      </c>
      <c r="D4">
        <v>25000</v>
      </c>
    </row>
    <row r="5" spans="1:4">
      <c r="A5" s="3" t="s">
        <v>224</v>
      </c>
      <c r="B5">
        <v>14000</v>
      </c>
      <c r="C5">
        <v>16000</v>
      </c>
      <c r="D5">
        <v>19000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212CA-30D0-4C03-8E7C-B23923FDDBA6}">
  <dimension ref="A1:C13"/>
  <sheetViews>
    <sheetView zoomScale="153" zoomScaleNormal="153" workbookViewId="0">
      <selection sqref="A1:C13"/>
    </sheetView>
  </sheetViews>
  <sheetFormatPr defaultRowHeight="14.4"/>
  <cols>
    <col min="1" max="1" width="13.33203125" bestFit="1" customWidth="1"/>
    <col min="2" max="2" width="9" bestFit="1" customWidth="1"/>
    <col min="3" max="3" width="15.44140625" bestFit="1" customWidth="1"/>
  </cols>
  <sheetData>
    <row r="1" spans="1:3">
      <c r="A1" t="s">
        <v>2</v>
      </c>
      <c r="B1" t="s">
        <v>111</v>
      </c>
      <c r="C1" t="s">
        <v>225</v>
      </c>
    </row>
    <row r="2" spans="1:3">
      <c r="A2" s="3" t="s">
        <v>15</v>
      </c>
      <c r="B2" s="3" t="s">
        <v>221</v>
      </c>
      <c r="C2">
        <v>16000</v>
      </c>
    </row>
    <row r="3" spans="1:3">
      <c r="A3" s="3" t="s">
        <v>15</v>
      </c>
      <c r="B3" s="3" t="s">
        <v>222</v>
      </c>
      <c r="C3">
        <v>15000</v>
      </c>
    </row>
    <row r="4" spans="1:3">
      <c r="A4" s="3" t="s">
        <v>15</v>
      </c>
      <c r="B4" s="3" t="s">
        <v>223</v>
      </c>
      <c r="C4">
        <v>18000</v>
      </c>
    </row>
    <row r="5" spans="1:3">
      <c r="A5" s="3" t="s">
        <v>21</v>
      </c>
      <c r="B5" s="3" t="s">
        <v>221</v>
      </c>
      <c r="C5">
        <v>20000</v>
      </c>
    </row>
    <row r="6" spans="1:3">
      <c r="A6" s="3" t="s">
        <v>21</v>
      </c>
      <c r="B6" s="3" t="s">
        <v>222</v>
      </c>
      <c r="C6">
        <v>22000</v>
      </c>
    </row>
    <row r="7" spans="1:3">
      <c r="A7" s="3" t="s">
        <v>21</v>
      </c>
      <c r="B7" s="3" t="s">
        <v>223</v>
      </c>
      <c r="C7">
        <v>25000</v>
      </c>
    </row>
    <row r="8" spans="1:3">
      <c r="A8" s="3" t="s">
        <v>23</v>
      </c>
      <c r="B8" s="3" t="s">
        <v>221</v>
      </c>
      <c r="C8">
        <v>8000</v>
      </c>
    </row>
    <row r="9" spans="1:3">
      <c r="A9" s="3" t="s">
        <v>23</v>
      </c>
      <c r="B9" s="3" t="s">
        <v>222</v>
      </c>
      <c r="C9">
        <v>9000</v>
      </c>
    </row>
    <row r="10" spans="1:3">
      <c r="A10" s="3" t="s">
        <v>23</v>
      </c>
      <c r="B10" s="3" t="s">
        <v>223</v>
      </c>
      <c r="C10">
        <v>11000</v>
      </c>
    </row>
    <row r="11" spans="1:3">
      <c r="A11" s="3" t="s">
        <v>224</v>
      </c>
      <c r="B11" s="3" t="s">
        <v>221</v>
      </c>
      <c r="C11">
        <v>14000</v>
      </c>
    </row>
    <row r="12" spans="1:3">
      <c r="A12" s="3" t="s">
        <v>224</v>
      </c>
      <c r="B12" s="3" t="s">
        <v>222</v>
      </c>
      <c r="C12">
        <v>16000</v>
      </c>
    </row>
    <row r="13" spans="1:3">
      <c r="A13" s="3" t="s">
        <v>224</v>
      </c>
      <c r="B13" s="3" t="s">
        <v>223</v>
      </c>
      <c r="C13">
        <v>19000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7D9E8-1328-491A-BC07-B74755428EA9}">
  <sheetPr>
    <tabColor rgb="FF7030A0"/>
  </sheetPr>
  <dimension ref="A1:D5"/>
  <sheetViews>
    <sheetView zoomScale="141" zoomScaleNormal="141" workbookViewId="0">
      <selection activeCell="B3" sqref="B3"/>
    </sheetView>
  </sheetViews>
  <sheetFormatPr defaultRowHeight="14.4"/>
  <cols>
    <col min="1" max="1" width="16.6640625" customWidth="1"/>
    <col min="2" max="2" width="10.77734375" customWidth="1"/>
    <col min="3" max="3" width="12.5546875" customWidth="1"/>
    <col min="4" max="4" width="13.109375" customWidth="1"/>
  </cols>
  <sheetData>
    <row r="1" spans="1:4">
      <c r="A1" s="4" t="s">
        <v>2</v>
      </c>
      <c r="B1" s="4" t="s">
        <v>221</v>
      </c>
      <c r="C1" s="4" t="s">
        <v>222</v>
      </c>
      <c r="D1" s="4" t="s">
        <v>223</v>
      </c>
    </row>
    <row r="2" spans="1:4">
      <c r="A2" t="s">
        <v>15</v>
      </c>
      <c r="B2">
        <v>16000</v>
      </c>
      <c r="C2">
        <v>15000</v>
      </c>
      <c r="D2">
        <v>18000</v>
      </c>
    </row>
    <row r="3" spans="1:4">
      <c r="A3" t="s">
        <v>21</v>
      </c>
      <c r="B3">
        <v>20000</v>
      </c>
      <c r="C3">
        <v>22000</v>
      </c>
      <c r="D3">
        <v>25000</v>
      </c>
    </row>
    <row r="4" spans="1:4">
      <c r="A4" t="s">
        <v>23</v>
      </c>
      <c r="B4">
        <v>8000</v>
      </c>
      <c r="C4">
        <v>9000</v>
      </c>
      <c r="D4">
        <v>11000</v>
      </c>
    </row>
    <row r="5" spans="1:4">
      <c r="A5" t="s">
        <v>224</v>
      </c>
      <c r="B5">
        <v>14000</v>
      </c>
      <c r="C5">
        <v>16000</v>
      </c>
      <c r="D5">
        <v>19000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4AAD2-4D8C-48F2-A943-46B510512337}">
  <sheetPr>
    <tabColor rgb="FFFFFF00"/>
  </sheetPr>
  <dimension ref="A1:G34"/>
  <sheetViews>
    <sheetView tabSelected="1" topLeftCell="F1" zoomScale="175" zoomScaleNormal="175" workbookViewId="0">
      <selection activeCell="G9" sqref="G9"/>
    </sheetView>
  </sheetViews>
  <sheetFormatPr defaultColWidth="45.77734375" defaultRowHeight="14.4"/>
  <sheetData>
    <row r="1" spans="1:7" ht="23.4">
      <c r="A1" s="44" t="s">
        <v>229</v>
      </c>
    </row>
    <row r="2" spans="1:7">
      <c r="A2" t="s">
        <v>230</v>
      </c>
    </row>
    <row r="4" spans="1:7">
      <c r="A4" s="49" t="s">
        <v>231</v>
      </c>
      <c r="B4" s="48"/>
      <c r="C4" s="49" t="s">
        <v>161</v>
      </c>
      <c r="D4" s="48"/>
      <c r="E4" s="49" t="s">
        <v>232</v>
      </c>
      <c r="F4" s="48"/>
      <c r="G4" s="49" t="s">
        <v>233</v>
      </c>
    </row>
    <row r="5" spans="1:7" ht="21">
      <c r="A5" s="50">
        <f>COUNTA(Cleaned_Employees[Employee_ID])</f>
        <v>13</v>
      </c>
      <c r="B5" s="46"/>
      <c r="C5" s="51">
        <f>SUM(Cleaned_Employees[Salary])</f>
        <v>484000</v>
      </c>
      <c r="D5" s="46"/>
      <c r="E5" s="51">
        <f>SUM(Monthly_Sales_Table_2[Sales_Amount])</f>
        <v>193000</v>
      </c>
      <c r="F5" s="46"/>
      <c r="G5" s="52">
        <f>SUM(Sales_Commission_Analysis[Sales_Commission])</f>
        <v>9650</v>
      </c>
    </row>
    <row r="8" spans="1:7">
      <c r="A8" t="s">
        <v>234</v>
      </c>
    </row>
    <row r="10" spans="1:7">
      <c r="A10" s="45" t="s">
        <v>235</v>
      </c>
      <c r="B10" s="54"/>
      <c r="C10" s="47" t="s">
        <v>232</v>
      </c>
    </row>
    <row r="11" spans="1:7">
      <c r="A11" t="s">
        <v>15</v>
      </c>
      <c r="C11" s="55">
        <f>SUMIFS(Monthly_Sales_Table_2[Sales_Amount],Monthly_Sales_Table_2[Department],A11)</f>
        <v>49000</v>
      </c>
    </row>
    <row r="12" spans="1:7">
      <c r="A12" t="s">
        <v>21</v>
      </c>
      <c r="C12" s="55">
        <f>SUMIFS(Monthly_Sales_Table_2[Sales_Amount],Monthly_Sales_Table_2[Department],A12)</f>
        <v>67000</v>
      </c>
    </row>
    <row r="13" spans="1:7">
      <c r="A13" t="s">
        <v>23</v>
      </c>
      <c r="C13" s="55">
        <f>SUMIFS(Monthly_Sales_Table_2[Sales_Amount],Monthly_Sales_Table_2[Department],A13)</f>
        <v>28000</v>
      </c>
    </row>
    <row r="14" spans="1:7">
      <c r="A14" t="s">
        <v>224</v>
      </c>
      <c r="C14" s="55">
        <f>SUMIFS(Monthly_Sales_Table_2[Sales_Amount],Monthly_Sales_Table_2[Department],A14)</f>
        <v>49000</v>
      </c>
    </row>
    <row r="15" spans="1:7">
      <c r="A15" s="53" t="s">
        <v>236</v>
      </c>
      <c r="C15" s="56">
        <f>SUM(C11:C14)</f>
        <v>193000</v>
      </c>
    </row>
    <row r="18" spans="1:7">
      <c r="A18" s="4" t="s">
        <v>237</v>
      </c>
    </row>
    <row r="20" spans="1:7">
      <c r="A20" s="58" t="s">
        <v>2</v>
      </c>
      <c r="C20" s="58" t="s">
        <v>163</v>
      </c>
      <c r="E20" s="57" t="s">
        <v>161</v>
      </c>
    </row>
    <row r="21" spans="1:7">
      <c r="A21" s="54" t="s">
        <v>15</v>
      </c>
      <c r="C21" s="54">
        <f>COUNTIFS(Cleaned_Employees[Department],A21)</f>
        <v>4</v>
      </c>
      <c r="E21" s="24">
        <f>SUMIFS(Cleaned_Employees[Salary],Cleaned_Employees[Department],A21)</f>
        <v>111000</v>
      </c>
    </row>
    <row r="22" spans="1:7">
      <c r="A22" s="54" t="s">
        <v>21</v>
      </c>
      <c r="C22" s="54">
        <f>COUNTIFS(Cleaned_Employees[Department],A22)</f>
        <v>5</v>
      </c>
      <c r="E22" s="24">
        <f>SUMIFS(Cleaned_Employees[Salary],Cleaned_Employees[Department],A22)</f>
        <v>188000</v>
      </c>
    </row>
    <row r="23" spans="1:7">
      <c r="A23" s="54" t="s">
        <v>23</v>
      </c>
      <c r="C23" s="54">
        <f>COUNTIFS(Cleaned_Employees[Department],A23)</f>
        <v>4</v>
      </c>
      <c r="E23" s="24">
        <f>SUMIFS(Cleaned_Employees[Salary],Cleaned_Employees[Department],A23)</f>
        <v>185000</v>
      </c>
    </row>
    <row r="24" spans="1:7">
      <c r="A24" s="54" t="s">
        <v>224</v>
      </c>
      <c r="C24" s="54">
        <f>COUNTIFS(Cleaned_Employees[Department],A24)</f>
        <v>0</v>
      </c>
      <c r="E24" s="24">
        <f>SUMIFS(Cleaned_Employees[Salary],Cleaned_Employees[Department],A24)</f>
        <v>0</v>
      </c>
    </row>
    <row r="25" spans="1:7" s="65" customFormat="1">
      <c r="A25" s="62" t="s">
        <v>236</v>
      </c>
      <c r="B25" s="63"/>
      <c r="C25" s="62">
        <f>SUM(C21:C24)</f>
        <v>13</v>
      </c>
      <c r="D25" s="63"/>
      <c r="E25" s="64">
        <f>SUM(E21:E24)</f>
        <v>484000</v>
      </c>
    </row>
    <row r="28" spans="1:7" ht="18">
      <c r="A28" s="59" t="s">
        <v>238</v>
      </c>
    </row>
    <row r="30" spans="1:7">
      <c r="A30" s="4" t="s">
        <v>239</v>
      </c>
    </row>
    <row r="32" spans="1:7" s="61" customFormat="1" ht="45" customHeight="1">
      <c r="A32" s="60" t="s">
        <v>240</v>
      </c>
      <c r="B32" s="60"/>
      <c r="C32" s="60"/>
      <c r="D32" s="60"/>
      <c r="E32" s="60"/>
      <c r="F32" s="60"/>
      <c r="G32" s="60"/>
    </row>
    <row r="34" spans="1:1" s="61" customFormat="1" ht="45" customHeight="1">
      <c r="A34" s="61" t="s">
        <v>241</v>
      </c>
    </row>
  </sheetData>
  <mergeCells count="1">
    <mergeCell ref="A32:G3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ED2259-7574-46BE-BEBD-113B66633C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3</vt:i4>
      </vt:variant>
    </vt:vector>
  </HeadingPairs>
  <TitlesOfParts>
    <vt:vector size="25" baseType="lpstr">
      <vt:lpstr>Department_Summary</vt:lpstr>
      <vt:lpstr>Top_3_Salary_Analysis</vt:lpstr>
      <vt:lpstr>Department_Lookup</vt:lpstr>
      <vt:lpstr>Salary_Parameter_Filter</vt:lpstr>
      <vt:lpstr>Error_Handling_Practice</vt:lpstr>
      <vt:lpstr>Cleaned_Data</vt:lpstr>
      <vt:lpstr>New_Employees (2)</vt:lpstr>
      <vt:lpstr>New_Employees</vt:lpstr>
      <vt:lpstr>Raw_Data</vt:lpstr>
      <vt:lpstr>Dynamic_Arrays</vt:lpstr>
      <vt:lpstr>Advanced_Lookups</vt:lpstr>
      <vt:lpstr>Date_Time_Analysis</vt:lpstr>
      <vt:lpstr>Conditional_Aggregation</vt:lpstr>
      <vt:lpstr>Validation_Controls</vt:lpstr>
      <vt:lpstr>Scenario Summary</vt:lpstr>
      <vt:lpstr>What_If_Analysis</vt:lpstr>
      <vt:lpstr>Sales_Commission_Analysis</vt:lpstr>
      <vt:lpstr>Sales_Performance_Analysis</vt:lpstr>
      <vt:lpstr>Monthly_Sales_Pivot_Practice</vt:lpstr>
      <vt:lpstr>Monthly_Sales_Table</vt:lpstr>
      <vt:lpstr>Monthly_Sales.</vt:lpstr>
      <vt:lpstr>Level_6_Final_Project</vt:lpstr>
      <vt:lpstr>Department_List</vt:lpstr>
      <vt:lpstr>Maximum_Salary</vt:lpstr>
      <vt:lpstr>Minimum_Salary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2026-09-15T20:36:58Z</dcterms:created>
  <dcterms:modified xsi:type="dcterms:W3CDTF">2026-10-23T21:00:34Z</dcterms:modified>
</cp:coreProperties>
</file>